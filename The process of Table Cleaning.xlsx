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led_\Downloads\Excell sheets\"/>
    </mc:Choice>
  </mc:AlternateContent>
  <xr:revisionPtr revIDLastSave="0" documentId="13_ncr:1_{8E468456-E2C5-4A71-B108-BE0A38937674}" xr6:coauthVersionLast="47" xr6:coauthVersionMax="47" xr10:uidLastSave="{00000000-0000-0000-0000-000000000000}"/>
  <bookViews>
    <workbookView xWindow="-98" yWindow="-98" windowWidth="21795" windowHeight="12975" activeTab="3" xr2:uid="{2F47E2D7-8BBF-448E-ACA8-A2096A0D6394}"/>
  </bookViews>
  <sheets>
    <sheet name="Overview" sheetId="6" r:id="rId1"/>
    <sheet name="Raw Data" sheetId="1" r:id="rId2"/>
    <sheet name="Cleaning Process" sheetId="2" r:id="rId3"/>
    <sheet name="Cleaned Data"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 i="3" l="1"/>
  <c r="D21" i="3"/>
  <c r="I3" i="3"/>
  <c r="I4" i="3"/>
  <c r="I5" i="3"/>
  <c r="I6" i="3"/>
  <c r="I7" i="3"/>
  <c r="I8" i="3"/>
  <c r="I9" i="3"/>
  <c r="I10" i="3"/>
  <c r="I11" i="3"/>
  <c r="I12" i="3"/>
  <c r="I13" i="3"/>
  <c r="I14" i="3"/>
  <c r="I15" i="3"/>
  <c r="I16" i="3"/>
  <c r="I17" i="3"/>
  <c r="I18" i="3"/>
  <c r="I19" i="3"/>
  <c r="I20" i="3"/>
  <c r="I21" i="3"/>
  <c r="E3" i="3"/>
  <c r="E4" i="3"/>
  <c r="E5" i="3"/>
  <c r="E6" i="3"/>
  <c r="E7" i="3"/>
  <c r="E8" i="3"/>
  <c r="E9" i="3"/>
  <c r="E10" i="3"/>
  <c r="E11" i="3"/>
  <c r="E12" i="3"/>
  <c r="E13" i="3"/>
  <c r="E14" i="3"/>
  <c r="E15" i="3"/>
  <c r="E16" i="3"/>
  <c r="E17" i="3"/>
  <c r="E18" i="3"/>
  <c r="E19" i="3"/>
  <c r="E20" i="3"/>
  <c r="E21" i="3"/>
  <c r="I2" i="3"/>
  <c r="E2" i="3"/>
  <c r="H21" i="3"/>
  <c r="G21" i="3"/>
  <c r="F21" i="3"/>
  <c r="C21" i="3"/>
  <c r="B21" i="3"/>
  <c r="A21" i="3"/>
  <c r="H20" i="3"/>
  <c r="G20" i="3"/>
  <c r="F20" i="3"/>
  <c r="D20" i="3"/>
  <c r="C20" i="3"/>
  <c r="B20" i="3"/>
  <c r="A20" i="3"/>
  <c r="H19" i="3"/>
  <c r="G19" i="3"/>
  <c r="F19" i="3"/>
  <c r="D19" i="3"/>
  <c r="C19" i="3"/>
  <c r="B19" i="3"/>
  <c r="A19" i="3"/>
  <c r="H18" i="3"/>
  <c r="G18" i="3"/>
  <c r="F18" i="3"/>
  <c r="D18" i="3"/>
  <c r="C18" i="3"/>
  <c r="B18" i="3"/>
  <c r="A18" i="3"/>
  <c r="H17" i="3"/>
  <c r="G17" i="3"/>
  <c r="F17" i="3"/>
  <c r="D17" i="3"/>
  <c r="C17" i="3"/>
  <c r="B17" i="3"/>
  <c r="A17" i="3"/>
  <c r="H16" i="3"/>
  <c r="G16" i="3"/>
  <c r="F16" i="3"/>
  <c r="D16" i="3"/>
  <c r="C16" i="3"/>
  <c r="B16" i="3"/>
  <c r="A16" i="3"/>
  <c r="H15" i="3"/>
  <c r="G15" i="3"/>
  <c r="F15" i="3"/>
  <c r="D15" i="3"/>
  <c r="C15" i="3"/>
  <c r="B15" i="3"/>
  <c r="A15" i="3"/>
  <c r="H14" i="3"/>
  <c r="G14" i="3"/>
  <c r="F14" i="3"/>
  <c r="D14" i="3"/>
  <c r="C14" i="3"/>
  <c r="B14" i="3"/>
  <c r="A14" i="3"/>
  <c r="H13" i="3"/>
  <c r="G13" i="3"/>
  <c r="F13" i="3"/>
  <c r="D13" i="3"/>
  <c r="C13" i="3"/>
  <c r="B13" i="3"/>
  <c r="A13" i="3"/>
  <c r="H12" i="3"/>
  <c r="G12" i="3"/>
  <c r="F12" i="3"/>
  <c r="D12" i="3"/>
  <c r="C12" i="3"/>
  <c r="B12" i="3"/>
  <c r="A12" i="3"/>
  <c r="H11" i="3"/>
  <c r="G11" i="3"/>
  <c r="F11" i="3"/>
  <c r="D11" i="3"/>
  <c r="C11" i="3"/>
  <c r="B11" i="3"/>
  <c r="A11" i="3"/>
  <c r="H10" i="3"/>
  <c r="G10" i="3"/>
  <c r="F10" i="3"/>
  <c r="D10" i="3"/>
  <c r="C10" i="3"/>
  <c r="B10" i="3"/>
  <c r="A10" i="3"/>
  <c r="H9" i="3"/>
  <c r="G9" i="3"/>
  <c r="F9" i="3"/>
  <c r="D9" i="3"/>
  <c r="C9" i="3"/>
  <c r="B9" i="3"/>
  <c r="A9" i="3"/>
  <c r="H8" i="3"/>
  <c r="G8" i="3"/>
  <c r="F8" i="3"/>
  <c r="D8" i="3"/>
  <c r="C8" i="3"/>
  <c r="B8" i="3"/>
  <c r="A8" i="3"/>
  <c r="H7" i="3"/>
  <c r="G7" i="3"/>
  <c r="F7" i="3"/>
  <c r="D7" i="3"/>
  <c r="C7" i="3"/>
  <c r="B7" i="3"/>
  <c r="A7" i="3"/>
  <c r="H6" i="3"/>
  <c r="G6" i="3"/>
  <c r="F6" i="3"/>
  <c r="D6" i="3"/>
  <c r="C6" i="3"/>
  <c r="B6" i="3"/>
  <c r="A6" i="3"/>
  <c r="H5" i="3"/>
  <c r="G5" i="3"/>
  <c r="F5" i="3"/>
  <c r="D5" i="3"/>
  <c r="C5" i="3"/>
  <c r="B5" i="3"/>
  <c r="A5" i="3"/>
  <c r="H4" i="3"/>
  <c r="G4" i="3"/>
  <c r="F4" i="3"/>
  <c r="D4" i="3"/>
  <c r="C4" i="3"/>
  <c r="B4" i="3"/>
  <c r="A4" i="3"/>
  <c r="H3" i="3"/>
  <c r="G3" i="3"/>
  <c r="F3" i="3"/>
  <c r="D3" i="3"/>
  <c r="C3" i="3"/>
  <c r="B3" i="3"/>
  <c r="A3" i="3"/>
  <c r="H2" i="3"/>
  <c r="G2" i="3"/>
  <c r="F2" i="3"/>
  <c r="D2" i="3"/>
  <c r="C2" i="3"/>
  <c r="B2" i="3"/>
  <c r="A2" i="3"/>
  <c r="J2" i="3" l="1"/>
  <c r="K21" i="3"/>
  <c r="J21" i="3"/>
  <c r="K20" i="3"/>
  <c r="J20" i="3"/>
  <c r="K19" i="3"/>
  <c r="J19" i="3"/>
  <c r="K18" i="3"/>
  <c r="J18" i="3"/>
  <c r="K17" i="3"/>
  <c r="J17" i="3"/>
  <c r="K16" i="3"/>
  <c r="J16" i="3"/>
  <c r="K5" i="3"/>
  <c r="K4" i="3"/>
  <c r="J4" i="3"/>
  <c r="K3" i="3"/>
  <c r="K15" i="3"/>
  <c r="J15" i="3"/>
  <c r="K14" i="3"/>
  <c r="J14" i="3"/>
  <c r="K13" i="3"/>
  <c r="J13" i="3"/>
  <c r="J6" i="3"/>
  <c r="K12" i="3"/>
  <c r="J12" i="3"/>
  <c r="K11" i="3"/>
  <c r="J11" i="3"/>
  <c r="K10" i="3"/>
  <c r="J10" i="3"/>
  <c r="K9" i="3"/>
  <c r="J9" i="3"/>
  <c r="K8" i="3"/>
  <c r="J8" i="3"/>
  <c r="K7" i="3"/>
  <c r="J7" i="3"/>
  <c r="K6" i="3"/>
  <c r="J5" i="3"/>
  <c r="J3" i="3"/>
</calcChain>
</file>

<file path=xl/sharedStrings.xml><?xml version="1.0" encoding="utf-8"?>
<sst xmlns="http://schemas.openxmlformats.org/spreadsheetml/2006/main" count="231" uniqueCount="173">
  <si>
    <t>2024-03-01</t>
  </si>
  <si>
    <t>7 Mar 2024</t>
  </si>
  <si>
    <t>2024-03-25</t>
  </si>
  <si>
    <t>Record Status</t>
  </si>
  <si>
    <t>order_id</t>
  </si>
  <si>
    <t>customer_name</t>
  </si>
  <si>
    <t>email</t>
  </si>
  <si>
    <t>order_date</t>
  </si>
  <si>
    <t>country</t>
  </si>
  <si>
    <t>product</t>
  </si>
  <si>
    <t>quantity</t>
  </si>
  <si>
    <t>unit_price</t>
  </si>
  <si>
    <t>status</t>
  </si>
  <si>
    <t>ord-001</t>
  </si>
  <si>
    <t xml:space="preserve">  john smith</t>
  </si>
  <si>
    <t>JOHN.SMITH@EMAIL.COM</t>
  </si>
  <si>
    <t>USA</t>
  </si>
  <si>
    <t>widget</t>
  </si>
  <si>
    <t>paid</t>
  </si>
  <si>
    <t xml:space="preserve"> ORD-002</t>
  </si>
  <si>
    <t>JANE DOE</t>
  </si>
  <si>
    <t xml:space="preserve">jane.doe@email.com </t>
  </si>
  <si>
    <t>03/05/2024</t>
  </si>
  <si>
    <t>U.S.A.</t>
  </si>
  <si>
    <t>Widget</t>
  </si>
  <si>
    <t>Paid</t>
  </si>
  <si>
    <t xml:space="preserve">ord-003 </t>
  </si>
  <si>
    <t>Maria  Garcia</t>
  </si>
  <si>
    <t>MARIA@EMAIL.COM</t>
  </si>
  <si>
    <t>us</t>
  </si>
  <si>
    <t>gadget</t>
  </si>
  <si>
    <t>PAID</t>
  </si>
  <si>
    <t>Ord-004</t>
  </si>
  <si>
    <t>peter jones</t>
  </si>
  <si>
    <t>peter.jones@email.com</t>
  </si>
  <si>
    <t>2024/03/09</t>
  </si>
  <si>
    <t>United States</t>
  </si>
  <si>
    <t>Gadget</t>
  </si>
  <si>
    <t>pending</t>
  </si>
  <si>
    <t>ORD-005</t>
  </si>
  <si>
    <t>li  wei</t>
  </si>
  <si>
    <t>LI.WEI@EMAIL.COM</t>
  </si>
  <si>
    <t>12/03/2024</t>
  </si>
  <si>
    <t>UK</t>
  </si>
  <si>
    <t>gizmo</t>
  </si>
  <si>
    <t>p</t>
  </si>
  <si>
    <t>ord-006</t>
  </si>
  <si>
    <t>sara o'neil</t>
  </si>
  <si>
    <t xml:space="preserve">SARA@EMAIL.COM </t>
  </si>
  <si>
    <t>2024-03-15</t>
  </si>
  <si>
    <t>U.K.</t>
  </si>
  <si>
    <t>Pending</t>
  </si>
  <si>
    <t>ord-007</t>
  </si>
  <si>
    <t>tom brown</t>
  </si>
  <si>
    <t>TOM.BROWN@EMAIL.COM</t>
  </si>
  <si>
    <t>18 Mar 2024</t>
  </si>
  <si>
    <t>United Kingdom</t>
  </si>
  <si>
    <t>unpaid</t>
  </si>
  <si>
    <t>ORD-008</t>
  </si>
  <si>
    <t>anna muller</t>
  </si>
  <si>
    <t>anna.muller@email.com</t>
  </si>
  <si>
    <t>2024-03-20</t>
  </si>
  <si>
    <t>germany</t>
  </si>
  <si>
    <t xml:space="preserve">ord-009 </t>
  </si>
  <si>
    <t>JOHN smith</t>
  </si>
  <si>
    <t>john.smith@email.com</t>
  </si>
  <si>
    <t>22/03/2024</t>
  </si>
  <si>
    <t>DE</t>
  </si>
  <si>
    <t>ord-010</t>
  </si>
  <si>
    <t>carlos ruiz</t>
  </si>
  <si>
    <t>CARLOS@EMAIL.COM</t>
  </si>
  <si>
    <t>Germany</t>
  </si>
  <si>
    <t>Gizmo</t>
  </si>
  <si>
    <t>cancelled</t>
  </si>
  <si>
    <t>ORD-011</t>
  </si>
  <si>
    <t>emma watson</t>
  </si>
  <si>
    <t xml:space="preserve"> emma@email.com</t>
  </si>
  <si>
    <t>2024/03/28</t>
  </si>
  <si>
    <t>Canada</t>
  </si>
  <si>
    <t>ord-012</t>
  </si>
  <si>
    <t>raj  patel</t>
  </si>
  <si>
    <t>RAJ.PATEL@EMAIL.COM</t>
  </si>
  <si>
    <t>1 Apr 2024</t>
  </si>
  <si>
    <t>CA</t>
  </si>
  <si>
    <t>PENDING</t>
  </si>
  <si>
    <t>ord-013</t>
  </si>
  <si>
    <t>nina lopez</t>
  </si>
  <si>
    <t>nina@email.com</t>
  </si>
  <si>
    <t>04/03/2024</t>
  </si>
  <si>
    <t>usa</t>
  </si>
  <si>
    <t>Ord-014</t>
  </si>
  <si>
    <t>mike  ross</t>
  </si>
  <si>
    <t xml:space="preserve">MIKE.ROSS@EMAIL.COM </t>
  </si>
  <si>
    <t>2024-04-05</t>
  </si>
  <si>
    <t>US</t>
  </si>
  <si>
    <t>ord-015</t>
  </si>
  <si>
    <t>lucy kim</t>
  </si>
  <si>
    <t>lucy.kim@email.com</t>
  </si>
  <si>
    <t>8 Apr 2024</t>
  </si>
  <si>
    <t>uk</t>
  </si>
  <si>
    <t>ORD-016</t>
  </si>
  <si>
    <t>david lee</t>
  </si>
  <si>
    <t>DAVID@EMAIL.COM</t>
  </si>
  <si>
    <t>2024/04/10</t>
  </si>
  <si>
    <t>ord-017</t>
  </si>
  <si>
    <t>sofia rossi</t>
  </si>
  <si>
    <t>sofia.rossi@email.com</t>
  </si>
  <si>
    <t>04/12/2024</t>
  </si>
  <si>
    <t>ord-018</t>
  </si>
  <si>
    <t>ahmed  khan</t>
  </si>
  <si>
    <t>AHMED@EMAIL.COM</t>
  </si>
  <si>
    <t>2024-04-15</t>
  </si>
  <si>
    <t>john smith</t>
  </si>
  <si>
    <t>ORD-019</t>
  </si>
  <si>
    <t>grace hall</t>
  </si>
  <si>
    <t>grace.hall@email.com</t>
  </si>
  <si>
    <t>2024/04/20</t>
  </si>
  <si>
    <t>Cancelled</t>
  </si>
  <si>
    <t>Country lookup</t>
  </si>
  <si>
    <t>UNITED STATES</t>
  </si>
  <si>
    <t>UNITED KINGDOM</t>
  </si>
  <si>
    <t>GERMANY</t>
  </si>
  <si>
    <t>CANADA</t>
  </si>
  <si>
    <t>Status lookup</t>
  </si>
  <si>
    <t>P</t>
  </si>
  <si>
    <t>UNPAID</t>
  </si>
  <si>
    <t>Unpaid</t>
  </si>
  <si>
    <t>CANCELLED</t>
  </si>
  <si>
    <t>Order ID</t>
  </si>
  <si>
    <t>Customer</t>
  </si>
  <si>
    <t>Email</t>
  </si>
  <si>
    <t>Order Date</t>
  </si>
  <si>
    <t>Country</t>
  </si>
  <si>
    <t>Product</t>
  </si>
  <si>
    <t>Quantity</t>
  </si>
  <si>
    <t>Unit Price</t>
  </si>
  <si>
    <t>Status</t>
  </si>
  <si>
    <t>Line Total</t>
  </si>
  <si>
    <t>Cleaning Messy Data in Excel</t>
  </si>
  <si>
    <t>What this is</t>
  </si>
  <si>
    <t>A small example that shows how I tidy up raw data with plain formulas.</t>
  </si>
  <si>
    <t>This workbook takes a messy list of orders and turns it into clean, tidy data. The orders are made up, and the topic does not really matter. What I want to show is the method, and that I can do it in everyday Excel with no add ons.</t>
  </si>
  <si>
    <t>What is inside</t>
  </si>
  <si>
    <t>Raw Data.  The messy starting point, much like a real export.</t>
  </si>
  <si>
    <t>Cleaning Process.  A short write up of what gets fixed, and how.</t>
  </si>
  <si>
    <t>Cleaned Data.  The tidy result, built only from formulas.</t>
  </si>
  <si>
    <t>What gets fixed</t>
  </si>
  <si>
    <t>Names typed in odd capitals. Spare spaces here and there. Emails written in shouting capitals. Dates in four different styles. Country names spelled all sorts of ways. Prices with a dollar sign stuck on. Numbers saved as text. There is even a duplicate row hiding in the list.</t>
  </si>
  <si>
    <t>Why formulas</t>
  </si>
  <si>
    <t>Every clean cell points back to a raw cell. So when you change something in the raw sheet, the clean sheet updates on its own. Nothing is patched by hand, and you can run the whole thing again on fresh data any time.</t>
  </si>
  <si>
    <t>Tip:  open the sheets in order, from left to right.</t>
  </si>
  <si>
    <t>Cleaning Process</t>
  </si>
  <si>
    <t>Text and spacing</t>
  </si>
  <si>
    <t>The order numbers are pushed into capitals and any spare spaces are stripped off. Customer names are tidied so each word starts with a capital, and double spaces shrink to one. Emails come in shouting capitals, so they are pulled down to lower case. Product names get the same gentle tidy up.</t>
  </si>
  <si>
    <t>Dates</t>
  </si>
  <si>
    <t>The raw dates are written in several styles and are really just text. A formula reads each one and turns it into a proper date that Excel understands, so the orders can be sorted and filtered later.</t>
  </si>
  <si>
    <t>Numbers and prices</t>
  </si>
  <si>
    <t>Some quantities were saved as text, so they are turned back into real numbers. The prices arrived with a dollar sign attached, which makes Excel treat them as words. The sign is removed and the value becomes a number again. Where a cell was empty, it is left empty rather than guessed.</t>
  </si>
  <si>
    <t>Countries and status</t>
  </si>
  <si>
    <t>Duplicates and totals</t>
  </si>
  <si>
    <t>One order sneaks into the list twice. A formula spots the repeat and labels it, so it is easy to filter out. Finally, once the quantity and price are clean, each row works out its own line total.</t>
  </si>
  <si>
    <t>Every step is a formula, so the same raw data always gives you the same clean result.</t>
  </si>
  <si>
    <t>People wrote the same country in lots of ways, like USA, US and United States. A small list matches every version to one clean name. The order status is handled the same way, so paid, Paid and p all settle on Paid. The two lists used for this are shown just below.</t>
  </si>
  <si>
    <t>Raw</t>
  </si>
  <si>
    <t>Becomes</t>
  </si>
  <si>
    <t>Each fix below is a formula, so it runs the same way every time you use it.</t>
  </si>
  <si>
    <t>Here is what happens between the raw sheet and the clean sheet:</t>
  </si>
  <si>
    <t>i.e:</t>
  </si>
  <si>
    <t>Formula:
Order ID   =UPPER(TRIM('Raw Data'!A2))
Customer   =PROPER(TRIM('Raw Data'!B2))
Email      =LOWER(TRIM('Raw Data'!C2))
Product    =PROPER(TRIM('Raw Data'!F2))</t>
  </si>
  <si>
    <t>Formula:
Order Date   =IFERROR(DATEVALUE(TRIM('Raw Data'!D2)),"")</t>
  </si>
  <si>
    <t>Formula:
Quantity     =IF('Raw Data'!G2="","",VALUE('Raw Data'!G2))
Unit Price   =IF('Raw Data'!H2="","",VALUE(SUBSTITUTE(TRIM('Raw Data'!H2),"$","")))</t>
  </si>
  <si>
    <t>Formula:
Country   =IFERROR(XLOOKUP(UPPER(TRIM('Raw Data'!E2)),'Cleaning Process'!$B$25:$B$35,'Cleaning Process'!$C$25:$C$35),"(unmapped)")
Status    =IFERROR(XLOOKUP(UPPER(TRIM('Raw Data'!I2)),'Cleaning Process'!$E$25:$E$29,'Cleaning Process'!$F$25:$F$29),"(unmapped)")</t>
  </si>
  <si>
    <t>Formula:
Record Status   =IF(COUNTIF($A$2:A2,A2)&gt;1,"Duplicate","Valid")
Line Total      =IF(OR(G2="",H2=""),"",G2*H2)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</si>
</sst>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8" formatCode="&quot;£&quot;#,##0.00;[Red]\-&quot;£&quot;#,##0.00"/>
    <numFmt numFmtId="164" formatCode="dd\ mmm\ yyyy"/>
    <numFmt numFmtId="165" formatCode="&quot;£&quot;#,##0.00"/>
  </numFmts>
  <fonts count="12" x14ac:knownFonts="1">
    <font>
      <sz val="11"/>
      <color theme="1"/>
      <name val="Aptos Narrow"/>
      <family val="2"/>
      <scheme val="minor"/>
    </font>
    <font>
      <sz val="11"/>
      <color rgb="FF333333"/>
      <name val="Aptos Narrow"/>
      <family val="2"/>
      <scheme val="minor"/>
    </font>
    <font>
      <b/>
      <sz val="11"/>
      <color rgb="FFE8731C"/>
      <name val="Aptos Narrow"/>
      <family val="2"/>
      <scheme val="minor"/>
    </font>
    <font>
      <b/>
      <sz val="11"/>
      <color rgb="FFC25A10"/>
      <name val="Aptos Narrow"/>
      <family val="2"/>
      <scheme val="minor"/>
    </font>
    <font>
      <b/>
      <sz val="20"/>
      <color rgb="FFC25A10"/>
      <name val="Aptos Narrow"/>
      <family val="2"/>
      <scheme val="minor"/>
    </font>
    <font>
      <i/>
      <sz val="11"/>
      <color rgb="FF6B6B6B"/>
      <name val="Aptos Narrow"/>
      <family val="2"/>
      <scheme val="minor"/>
    </font>
    <font>
      <b/>
      <sz val="12"/>
      <color rgb="FF141414"/>
      <name val="Aptos Narrow"/>
      <family val="2"/>
      <scheme val="minor"/>
    </font>
    <font>
      <i/>
      <sz val="10"/>
      <color rgb="FF6B6B6B"/>
      <name val="Aptos Narrow"/>
      <family val="2"/>
      <scheme val="minor"/>
    </font>
    <font>
      <b/>
      <sz val="9"/>
      <color theme="1"/>
      <name val="Aptos Narrow"/>
      <family val="2"/>
      <scheme val="minor"/>
    </font>
    <font>
      <i/>
      <sz val="11"/>
      <color theme="1"/>
      <name val="Aptos Narrow"/>
      <family val="2"/>
      <scheme val="minor"/>
    </font>
    <font>
      <i/>
      <sz val="11"/>
      <color theme="0" tint="-0.499984740745262"/>
      <name val="Aptos Narrow"/>
      <family val="2"/>
      <scheme val="minor"/>
    </font>
    <font>
      <sz val="9"/>
      <color rgb="FF555555"/>
      <name val="Consolas"/>
    </font>
  </fonts>
  <fills count="4">
    <fill>
      <patternFill patternType="none"/>
    </fill>
    <fill>
      <patternFill patternType="gray125"/>
    </fill>
    <fill>
      <patternFill patternType="solid">
        <fgColor rgb="FF141414"/>
        <bgColor indexed="64"/>
      </patternFill>
    </fill>
    <fill>
      <patternFill patternType="solid">
        <fgColor rgb="FFFBE2CE"/>
        <bgColor indexed="64"/>
      </patternFill>
    </fill>
  </fills>
  <borders count="11">
    <border>
      <left/>
      <right/>
      <top/>
      <bottom/>
      <diagonal/>
    </border>
    <border>
      <left/>
      <right/>
      <top/>
      <bottom style="thin">
        <color rgb="FFE5E0DA"/>
      </bottom>
      <diagonal/>
    </border>
    <border>
      <left/>
      <right/>
      <top style="thin">
        <color rgb="FFE5E0DA"/>
      </top>
      <bottom style="thin">
        <color rgb="FFE5E0DA"/>
      </bottom>
      <diagonal/>
    </border>
    <border>
      <left/>
      <right/>
      <top style="thin">
        <color rgb="FFE5E0DA"/>
      </top>
      <bottom style="thin">
        <color rgb="FF141414"/>
      </bottom>
      <diagonal/>
    </border>
    <border>
      <left/>
      <right/>
      <top/>
      <bottom style="medium">
        <color rgb="FFE8731C"/>
      </bottom>
      <diagonal/>
    </border>
    <border>
      <left style="thin">
        <color rgb="FFE0D4C8"/>
      </left>
      <right style="thin">
        <color rgb="FFEFE7DD"/>
      </right>
      <top style="thin">
        <color rgb="FFE0D4C8"/>
      </top>
      <bottom style="thin">
        <color rgb="FFEFE7DD"/>
      </bottom>
      <diagonal/>
    </border>
    <border>
      <left style="thin">
        <color rgb="FFEFE7DD"/>
      </left>
      <right style="thin">
        <color rgb="FFE0D4C8"/>
      </right>
      <top style="thin">
        <color rgb="FFE0D4C8"/>
      </top>
      <bottom style="thin">
        <color rgb="FFEFE7DD"/>
      </bottom>
      <diagonal/>
    </border>
    <border>
      <left style="thin">
        <color rgb="FFE0D4C8"/>
      </left>
      <right style="thin">
        <color rgb="FFEFE7DD"/>
      </right>
      <top style="thin">
        <color rgb="FFEFE7DD"/>
      </top>
      <bottom style="thin">
        <color rgb="FFEFE7DD"/>
      </bottom>
      <diagonal/>
    </border>
    <border>
      <left style="thin">
        <color rgb="FFEFE7DD"/>
      </left>
      <right style="thin">
        <color rgb="FFE0D4C8"/>
      </right>
      <top style="thin">
        <color rgb="FFEFE7DD"/>
      </top>
      <bottom style="thin">
        <color rgb="FFEFE7DD"/>
      </bottom>
      <diagonal/>
    </border>
    <border>
      <left style="thin">
        <color rgb="FFE0D4C8"/>
      </left>
      <right style="thin">
        <color rgb="FFEFE7DD"/>
      </right>
      <top style="thin">
        <color rgb="FFEFE7DD"/>
      </top>
      <bottom style="thin">
        <color rgb="FFE0D4C8"/>
      </bottom>
      <diagonal/>
    </border>
    <border>
      <left style="thin">
        <color rgb="FFEFE7DD"/>
      </left>
      <right style="thin">
        <color rgb="FFE0D4C8"/>
      </right>
      <top style="thin">
        <color rgb="FFEFE7DD"/>
      </top>
      <bottom style="thin">
        <color rgb="FFE0D4C8"/>
      </bottom>
      <diagonal/>
    </border>
  </borders>
  <cellStyleXfs count="1">
    <xf numFmtId="0" fontId="0" fillId="0" borderId="0"/>
  </cellStyleXfs>
  <cellXfs count="35">
    <xf numFmtId="0" fontId="0" fillId="0" borderId="0" xfId="0"/>
    <xf numFmtId="49" fontId="0" fillId="0" borderId="0" xfId="0" applyNumberFormat="1"/>
    <xf numFmtId="0" fontId="2" fillId="2" borderId="0" xfId="0" applyFont="1" applyFill="1"/>
    <xf numFmtId="49" fontId="2" fillId="2" borderId="0" xfId="0" applyNumberFormat="1" applyFont="1" applyFill="1"/>
    <xf numFmtId="0" fontId="3" fillId="0" borderId="0" xfId="0" applyFont="1"/>
    <xf numFmtId="8" fontId="0" fillId="0" borderId="0" xfId="0" applyNumberFormat="1"/>
    <xf numFmtId="6" fontId="0" fillId="0" borderId="0" xfId="0" applyNumberFormat="1"/>
    <xf numFmtId="0" fontId="0" fillId="0" borderId="2" xfId="0" applyBorder="1"/>
    <xf numFmtId="0" fontId="0" fillId="0" borderId="3" xfId="0" applyBorder="1"/>
    <xf numFmtId="0" fontId="2" fillId="2" borderId="1" xfId="0" applyFont="1" applyFill="1" applyBorder="1"/>
    <xf numFmtId="0" fontId="2" fillId="2" borderId="1" xfId="0" applyFont="1" applyFill="1" applyBorder="1" applyAlignment="1">
      <alignment horizontal="right"/>
    </xf>
    <xf numFmtId="164" fontId="0" fillId="0" borderId="2" xfId="0" applyNumberFormat="1" applyBorder="1"/>
    <xf numFmtId="1" fontId="0" fillId="0" borderId="2" xfId="0" applyNumberFormat="1" applyBorder="1"/>
    <xf numFmtId="165" fontId="0" fillId="0" borderId="2" xfId="0" applyNumberFormat="1" applyBorder="1"/>
    <xf numFmtId="164" fontId="0" fillId="0" borderId="3" xfId="0" applyNumberFormat="1" applyBorder="1"/>
    <xf numFmtId="1" fontId="0" fillId="0" borderId="3" xfId="0" applyNumberFormat="1" applyBorder="1"/>
    <xf numFmtId="165" fontId="0" fillId="0" borderId="3" xfId="0" applyNumberFormat="1" applyBorder="1"/>
    <xf numFmtId="0" fontId="4" fillId="0" borderId="0" xfId="0" applyFont="1"/>
    <xf numFmtId="0" fontId="6" fillId="0" borderId="0" xfId="0" applyFont="1"/>
    <xf numFmtId="0" fontId="0" fillId="0" borderId="7" xfId="0" applyBorder="1"/>
    <xf numFmtId="0" fontId="0" fillId="0" borderId="8" xfId="0" applyBorder="1"/>
    <xf numFmtId="0" fontId="0" fillId="0" borderId="9" xfId="0" applyBorder="1"/>
    <xf numFmtId="0" fontId="0" fillId="0" borderId="10" xfId="0" applyBorder="1"/>
    <xf numFmtId="0" fontId="8" fillId="3" borderId="5" xfId="0" applyFont="1" applyFill="1" applyBorder="1"/>
    <xf numFmtId="0" fontId="8" fillId="3" borderId="6" xfId="0" applyFont="1" applyFill="1" applyBorder="1"/>
    <xf numFmtId="0" fontId="9" fillId="0" borderId="0" xfId="0" applyFont="1"/>
    <xf numFmtId="0" fontId="10" fillId="0" borderId="0" xfId="0" applyFont="1"/>
    <xf numFmtId="0" fontId="1" fillId="0" borderId="0" xfId="0" applyFont="1" applyAlignment="1">
      <alignment vertical="top" wrapText="1"/>
    </xf>
    <xf numFmtId="0" fontId="7" fillId="0" borderId="0" xfId="0" applyFont="1" applyAlignment="1">
      <alignment vertical="top" wrapText="1"/>
    </xf>
    <xf numFmtId="0" fontId="4" fillId="0" borderId="0" xfId="0" applyFont="1" applyAlignment="1">
      <alignment vertical="top" wrapText="1"/>
    </xf>
    <xf numFmtId="0" fontId="5" fillId="0" borderId="4" xfId="0" applyFont="1" applyBorder="1" applyAlignment="1">
      <alignment vertical="top" wrapText="1"/>
    </xf>
    <xf numFmtId="0" fontId="11" fillId="0" borderId="0" xfId="0" applyFont="1" applyAlignment="1">
      <alignment horizontal="center" vertical="top" wrapText="1"/>
    </xf>
    <xf numFmtId="0" fontId="0" fillId="0" borderId="2" xfId="0" applyBorder="1" applyAlignment="1">
      <alignment horizontal="right"/>
    </xf>
    <xf numFmtId="0" fontId="0" fillId="0" borderId="3" xfId="0" applyBorder="1" applyAlignment="1">
      <alignment horizontal="right"/>
    </xf>
    <xf numFmtId="0" fontId="2"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7B74FB6-91CD-4997-8C5D-5D4EF6BFCCEB}">
  <we:reference id="wa200009404" version="1.0.0.8" store="en-US" storeType="OMEX"/>
  <we:alternateReferences>
    <we:reference id="wa200009404" version="1.0.0.8" store="en-US" storeType="OMEX"/>
  </we:alternateReferences>
  <we:properties>
    <we:property name="claude.fileId" value="&quot;62ed5262-d814-489d-b050-1f36fa3a663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C49D-8C64-4FE0-B74B-21FDAF001D52}">
  <dimension ref="B1:G19"/>
  <sheetViews>
    <sheetView showGridLines="0" zoomScale="78" workbookViewId="0">
      <selection activeCell="I20" sqref="I20"/>
    </sheetView>
  </sheetViews>
  <sheetFormatPr defaultRowHeight="14.25" x14ac:dyDescent="0.45"/>
  <cols>
    <col min="1" max="1" width="3.19921875" customWidth="1"/>
    <col min="2" max="8" width="12.796875" customWidth="1"/>
  </cols>
  <sheetData>
    <row r="1" spans="2:7" ht="6" customHeight="1" x14ac:dyDescent="0.45"/>
    <row r="2" spans="2:7" ht="26.65" x14ac:dyDescent="0.45">
      <c r="B2" s="29" t="s">
        <v>138</v>
      </c>
      <c r="C2" s="29"/>
      <c r="D2" s="29"/>
      <c r="E2" s="29"/>
      <c r="F2" s="29"/>
      <c r="G2" s="29"/>
    </row>
    <row r="3" spans="2:7" ht="14.65" thickBot="1" x14ac:dyDescent="0.5">
      <c r="B3" s="30" t="s">
        <v>140</v>
      </c>
      <c r="C3" s="30"/>
      <c r="D3" s="30"/>
      <c r="E3" s="30"/>
      <c r="F3" s="30"/>
      <c r="G3" s="30"/>
    </row>
    <row r="5" spans="2:7" ht="15.75" x14ac:dyDescent="0.5">
      <c r="B5" s="18" t="s">
        <v>139</v>
      </c>
    </row>
    <row r="6" spans="2:7" ht="60" customHeight="1" x14ac:dyDescent="0.45">
      <c r="B6" s="27" t="s">
        <v>141</v>
      </c>
      <c r="C6" s="27"/>
      <c r="D6" s="27"/>
      <c r="E6" s="27"/>
      <c r="F6" s="27"/>
      <c r="G6" s="27"/>
    </row>
    <row r="7" spans="2:7" ht="10.050000000000001" customHeight="1" x14ac:dyDescent="0.45"/>
    <row r="8" spans="2:7" ht="15.75" x14ac:dyDescent="0.5">
      <c r="B8" s="18" t="s">
        <v>142</v>
      </c>
    </row>
    <row r="9" spans="2:7" ht="16.05" customHeight="1" x14ac:dyDescent="0.45">
      <c r="B9" s="27" t="s">
        <v>143</v>
      </c>
      <c r="C9" s="27"/>
      <c r="D9" s="27"/>
      <c r="E9" s="27"/>
      <c r="F9" s="27"/>
      <c r="G9" s="27"/>
    </row>
    <row r="10" spans="2:7" ht="16.05" customHeight="1" x14ac:dyDescent="0.45">
      <c r="B10" s="27" t="s">
        <v>144</v>
      </c>
      <c r="C10" s="27"/>
      <c r="D10" s="27"/>
      <c r="E10" s="27"/>
      <c r="F10" s="27"/>
      <c r="G10" s="27"/>
    </row>
    <row r="11" spans="2:7" ht="16.05" customHeight="1" x14ac:dyDescent="0.45">
      <c r="B11" s="27" t="s">
        <v>145</v>
      </c>
      <c r="C11" s="27"/>
      <c r="D11" s="27"/>
      <c r="E11" s="27"/>
      <c r="F11" s="27"/>
      <c r="G11" s="27"/>
    </row>
    <row r="12" spans="2:7" ht="10.050000000000001" customHeight="1" x14ac:dyDescent="0.45"/>
    <row r="13" spans="2:7" ht="15.75" x14ac:dyDescent="0.5">
      <c r="B13" s="18" t="s">
        <v>146</v>
      </c>
    </row>
    <row r="14" spans="2:7" ht="74" customHeight="1" x14ac:dyDescent="0.45">
      <c r="B14" s="27" t="s">
        <v>147</v>
      </c>
      <c r="C14" s="27"/>
      <c r="D14" s="27"/>
      <c r="E14" s="27"/>
      <c r="F14" s="27"/>
      <c r="G14" s="27"/>
    </row>
    <row r="15" spans="2:7" ht="10.050000000000001" customHeight="1" x14ac:dyDescent="0.45"/>
    <row r="16" spans="2:7" ht="15.75" x14ac:dyDescent="0.5">
      <c r="B16" s="18" t="s">
        <v>148</v>
      </c>
    </row>
    <row r="17" spans="2:7" ht="60" customHeight="1" x14ac:dyDescent="0.45">
      <c r="B17" s="27" t="s">
        <v>149</v>
      </c>
      <c r="C17" s="27"/>
      <c r="D17" s="27"/>
      <c r="E17" s="27"/>
      <c r="F17" s="27"/>
      <c r="G17" s="27"/>
    </row>
    <row r="18" spans="2:7" ht="10.050000000000001" customHeight="1" x14ac:dyDescent="0.45"/>
    <row r="19" spans="2:7" x14ac:dyDescent="0.45">
      <c r="B19" s="28" t="s">
        <v>150</v>
      </c>
      <c r="C19" s="28"/>
      <c r="D19" s="28"/>
      <c r="E19" s="28"/>
      <c r="F19" s="28"/>
      <c r="G19" s="28"/>
    </row>
  </sheetData>
  <mergeCells count="9">
    <mergeCell ref="B11:G11"/>
    <mergeCell ref="B14:G14"/>
    <mergeCell ref="B17:G17"/>
    <mergeCell ref="B19:G19"/>
    <mergeCell ref="B2:G2"/>
    <mergeCell ref="B3:G3"/>
    <mergeCell ref="B6:G6"/>
    <mergeCell ref="B9:G9"/>
    <mergeCell ref="B10:G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1F8BC-882D-49C9-B00B-801B9A79E58C}">
  <dimension ref="A1:I60"/>
  <sheetViews>
    <sheetView zoomScale="117" workbookViewId="0">
      <selection activeCell="I1" sqref="I1"/>
    </sheetView>
  </sheetViews>
  <sheetFormatPr defaultRowHeight="14.25" x14ac:dyDescent="0.45"/>
  <cols>
    <col min="1" max="1" width="8.19921875" bestFit="1" customWidth="1"/>
    <col min="2" max="2" width="13.6640625" bestFit="1" customWidth="1"/>
    <col min="3" max="3" width="21.9296875" style="1" bestFit="1" customWidth="1"/>
    <col min="4" max="4" width="10.33203125" style="1" bestFit="1" customWidth="1"/>
    <col min="5" max="5" width="13.19921875" bestFit="1" customWidth="1"/>
    <col min="6" max="6" width="6.9296875" bestFit="1" customWidth="1"/>
    <col min="7" max="7" width="7.19921875" bestFit="1" customWidth="1"/>
    <col min="8" max="8" width="8.6640625" bestFit="1" customWidth="1"/>
    <col min="9" max="9" width="16.1328125" customWidth="1"/>
    <col min="10" max="10" width="8.796875" bestFit="1" customWidth="1"/>
    <col min="11" max="11" width="12" bestFit="1" customWidth="1"/>
    <col min="12" max="12" width="8.19921875" bestFit="1" customWidth="1"/>
    <col min="13" max="13" width="6.53125" bestFit="1" customWidth="1"/>
  </cols>
  <sheetData>
    <row r="1" spans="1:9" x14ac:dyDescent="0.45">
      <c r="A1" s="2" t="s">
        <v>4</v>
      </c>
      <c r="B1" s="2" t="s">
        <v>5</v>
      </c>
      <c r="C1" s="2" t="s">
        <v>6</v>
      </c>
      <c r="D1" s="3" t="s">
        <v>7</v>
      </c>
      <c r="E1" s="2" t="s">
        <v>8</v>
      </c>
      <c r="F1" s="2" t="s">
        <v>9</v>
      </c>
      <c r="G1" s="2" t="s">
        <v>10</v>
      </c>
      <c r="H1" s="2" t="s">
        <v>11</v>
      </c>
      <c r="I1" s="34" t="s">
        <v>12</v>
      </c>
    </row>
    <row r="2" spans="1:9" x14ac:dyDescent="0.45">
      <c r="A2" t="s">
        <v>13</v>
      </c>
      <c r="B2" t="s">
        <v>14</v>
      </c>
      <c r="C2" t="s">
        <v>15</v>
      </c>
      <c r="D2" s="1" t="s">
        <v>0</v>
      </c>
      <c r="E2" t="s">
        <v>16</v>
      </c>
      <c r="F2" t="s">
        <v>17</v>
      </c>
      <c r="G2">
        <v>3</v>
      </c>
      <c r="H2" s="5">
        <v>12.5</v>
      </c>
      <c r="I2" t="s">
        <v>18</v>
      </c>
    </row>
    <row r="3" spans="1:9" x14ac:dyDescent="0.45">
      <c r="A3" t="s">
        <v>19</v>
      </c>
      <c r="B3" t="s">
        <v>20</v>
      </c>
      <c r="C3" t="s">
        <v>21</v>
      </c>
      <c r="D3" s="1" t="s">
        <v>22</v>
      </c>
      <c r="E3" t="s">
        <v>23</v>
      </c>
      <c r="F3" t="s">
        <v>24</v>
      </c>
      <c r="G3">
        <v>5</v>
      </c>
      <c r="H3">
        <v>12.5</v>
      </c>
      <c r="I3" t="s">
        <v>25</v>
      </c>
    </row>
    <row r="4" spans="1:9" x14ac:dyDescent="0.45">
      <c r="A4" t="s">
        <v>26</v>
      </c>
      <c r="B4" t="s">
        <v>27</v>
      </c>
      <c r="C4" t="s">
        <v>28</v>
      </c>
      <c r="D4" s="1" t="s">
        <v>1</v>
      </c>
      <c r="E4" t="s">
        <v>29</v>
      </c>
      <c r="F4" t="s">
        <v>30</v>
      </c>
      <c r="H4" s="5">
        <v>8</v>
      </c>
      <c r="I4" t="s">
        <v>31</v>
      </c>
    </row>
    <row r="5" spans="1:9" x14ac:dyDescent="0.45">
      <c r="A5" t="s">
        <v>32</v>
      </c>
      <c r="B5" t="s">
        <v>33</v>
      </c>
      <c r="C5" t="s">
        <v>34</v>
      </c>
      <c r="D5" s="1" t="s">
        <v>35</v>
      </c>
      <c r="E5" t="s">
        <v>36</v>
      </c>
      <c r="F5" t="s">
        <v>37</v>
      </c>
      <c r="G5">
        <v>2</v>
      </c>
      <c r="H5">
        <v>8</v>
      </c>
      <c r="I5" t="s">
        <v>38</v>
      </c>
    </row>
    <row r="6" spans="1:9" x14ac:dyDescent="0.45">
      <c r="A6" t="s">
        <v>39</v>
      </c>
      <c r="B6" t="s">
        <v>40</v>
      </c>
      <c r="C6" t="s">
        <v>41</v>
      </c>
      <c r="D6" s="1" t="s">
        <v>42</v>
      </c>
      <c r="E6" t="s">
        <v>43</v>
      </c>
      <c r="F6" t="s">
        <v>44</v>
      </c>
      <c r="G6">
        <v>10</v>
      </c>
      <c r="H6" s="6">
        <v>15</v>
      </c>
      <c r="I6" t="s">
        <v>45</v>
      </c>
    </row>
    <row r="7" spans="1:9" x14ac:dyDescent="0.45">
      <c r="A7" t="s">
        <v>46</v>
      </c>
      <c r="B7" t="s">
        <v>47</v>
      </c>
      <c r="C7" t="s">
        <v>48</v>
      </c>
      <c r="D7" s="1" t="s">
        <v>49</v>
      </c>
      <c r="E7" t="s">
        <v>50</v>
      </c>
      <c r="F7" t="s">
        <v>24</v>
      </c>
      <c r="G7">
        <v>4</v>
      </c>
      <c r="H7" s="5">
        <v>12.5</v>
      </c>
      <c r="I7" t="s">
        <v>51</v>
      </c>
    </row>
    <row r="8" spans="1:9" x14ac:dyDescent="0.45">
      <c r="A8" t="s">
        <v>52</v>
      </c>
      <c r="B8" t="s">
        <v>53</v>
      </c>
      <c r="C8" t="s">
        <v>54</v>
      </c>
      <c r="D8" s="1" t="s">
        <v>55</v>
      </c>
      <c r="E8" t="s">
        <v>56</v>
      </c>
      <c r="F8" t="s">
        <v>17</v>
      </c>
      <c r="G8">
        <v>1</v>
      </c>
      <c r="H8">
        <v>12.5</v>
      </c>
      <c r="I8" t="s">
        <v>57</v>
      </c>
    </row>
    <row r="9" spans="1:9" x14ac:dyDescent="0.45">
      <c r="A9" t="s">
        <v>58</v>
      </c>
      <c r="B9" t="s">
        <v>59</v>
      </c>
      <c r="C9" t="s">
        <v>60</v>
      </c>
      <c r="D9" s="1" t="s">
        <v>61</v>
      </c>
      <c r="E9" t="s">
        <v>62</v>
      </c>
      <c r="F9" t="s">
        <v>44</v>
      </c>
      <c r="H9" s="5">
        <v>15</v>
      </c>
      <c r="I9" t="s">
        <v>18</v>
      </c>
    </row>
    <row r="10" spans="1:9" x14ac:dyDescent="0.45">
      <c r="A10" t="s">
        <v>63</v>
      </c>
      <c r="B10" t="s">
        <v>64</v>
      </c>
      <c r="C10" t="s">
        <v>65</v>
      </c>
      <c r="D10" s="1" t="s">
        <v>66</v>
      </c>
      <c r="E10" t="s">
        <v>67</v>
      </c>
      <c r="F10" t="s">
        <v>30</v>
      </c>
      <c r="G10">
        <v>6</v>
      </c>
      <c r="H10" s="6">
        <v>8</v>
      </c>
      <c r="I10" t="s">
        <v>25</v>
      </c>
    </row>
    <row r="11" spans="1:9" x14ac:dyDescent="0.45">
      <c r="A11" t="s">
        <v>68</v>
      </c>
      <c r="B11" t="s">
        <v>69</v>
      </c>
      <c r="C11" t="s">
        <v>70</v>
      </c>
      <c r="D11" s="1" t="s">
        <v>2</v>
      </c>
      <c r="E11" t="s">
        <v>71</v>
      </c>
      <c r="F11" t="s">
        <v>72</v>
      </c>
      <c r="G11">
        <v>3</v>
      </c>
      <c r="H11">
        <v>15</v>
      </c>
      <c r="I11" t="s">
        <v>73</v>
      </c>
    </row>
    <row r="12" spans="1:9" x14ac:dyDescent="0.45">
      <c r="A12" t="s">
        <v>74</v>
      </c>
      <c r="B12" t="s">
        <v>75</v>
      </c>
      <c r="C12" t="s">
        <v>76</v>
      </c>
      <c r="D12" s="1" t="s">
        <v>77</v>
      </c>
      <c r="E12" t="s">
        <v>78</v>
      </c>
      <c r="F12" t="s">
        <v>17</v>
      </c>
      <c r="G12">
        <v>8</v>
      </c>
      <c r="H12" s="5">
        <v>12.5</v>
      </c>
      <c r="I12" t="s">
        <v>18</v>
      </c>
    </row>
    <row r="13" spans="1:9" x14ac:dyDescent="0.45">
      <c r="A13" t="s">
        <v>79</v>
      </c>
      <c r="B13" t="s">
        <v>80</v>
      </c>
      <c r="C13" t="s">
        <v>81</v>
      </c>
      <c r="D13" s="1" t="s">
        <v>82</v>
      </c>
      <c r="E13" t="s">
        <v>83</v>
      </c>
      <c r="F13" t="s">
        <v>37</v>
      </c>
      <c r="G13">
        <v>2</v>
      </c>
      <c r="H13" s="5">
        <v>8</v>
      </c>
      <c r="I13" t="s">
        <v>84</v>
      </c>
    </row>
    <row r="14" spans="1:9" x14ac:dyDescent="0.45">
      <c r="A14" t="s">
        <v>85</v>
      </c>
      <c r="B14" t="s">
        <v>86</v>
      </c>
      <c r="C14" t="s">
        <v>87</v>
      </c>
      <c r="D14" s="1" t="s">
        <v>88</v>
      </c>
      <c r="E14" t="s">
        <v>89</v>
      </c>
      <c r="F14" t="s">
        <v>44</v>
      </c>
      <c r="G14">
        <v>5</v>
      </c>
      <c r="I14" t="s">
        <v>18</v>
      </c>
    </row>
    <row r="15" spans="1:9" x14ac:dyDescent="0.45">
      <c r="A15" t="s">
        <v>90</v>
      </c>
      <c r="B15" t="s">
        <v>91</v>
      </c>
      <c r="C15" t="s">
        <v>92</v>
      </c>
      <c r="D15" s="1" t="s">
        <v>93</v>
      </c>
      <c r="E15" t="s">
        <v>94</v>
      </c>
      <c r="F15" t="s">
        <v>24</v>
      </c>
      <c r="H15" s="5">
        <v>12.5</v>
      </c>
      <c r="I15" t="s">
        <v>45</v>
      </c>
    </row>
    <row r="16" spans="1:9" x14ac:dyDescent="0.45">
      <c r="A16" t="s">
        <v>95</v>
      </c>
      <c r="B16" t="s">
        <v>96</v>
      </c>
      <c r="C16" t="s">
        <v>97</v>
      </c>
      <c r="D16" s="1" t="s">
        <v>98</v>
      </c>
      <c r="E16" t="s">
        <v>99</v>
      </c>
      <c r="F16" t="s">
        <v>30</v>
      </c>
      <c r="G16">
        <v>7</v>
      </c>
      <c r="H16" s="6">
        <v>8</v>
      </c>
      <c r="I16" t="s">
        <v>57</v>
      </c>
    </row>
    <row r="17" spans="1:9" x14ac:dyDescent="0.45">
      <c r="A17" t="s">
        <v>100</v>
      </c>
      <c r="B17" t="s">
        <v>101</v>
      </c>
      <c r="C17" t="s">
        <v>102</v>
      </c>
      <c r="D17" s="1" t="s">
        <v>103</v>
      </c>
      <c r="E17" t="s">
        <v>56</v>
      </c>
      <c r="F17" t="s">
        <v>44</v>
      </c>
      <c r="G17">
        <v>4</v>
      </c>
      <c r="H17" s="5">
        <v>15</v>
      </c>
      <c r="I17" t="s">
        <v>25</v>
      </c>
    </row>
    <row r="18" spans="1:9" x14ac:dyDescent="0.45">
      <c r="A18" t="s">
        <v>104</v>
      </c>
      <c r="B18" t="s">
        <v>105</v>
      </c>
      <c r="C18" t="s">
        <v>106</v>
      </c>
      <c r="D18" s="1" t="s">
        <v>107</v>
      </c>
      <c r="E18" t="s">
        <v>62</v>
      </c>
      <c r="F18" t="s">
        <v>17</v>
      </c>
      <c r="G18">
        <v>9</v>
      </c>
      <c r="H18">
        <v>12.5</v>
      </c>
      <c r="I18" t="s">
        <v>18</v>
      </c>
    </row>
    <row r="19" spans="1:9" x14ac:dyDescent="0.45">
      <c r="A19" t="s">
        <v>108</v>
      </c>
      <c r="B19" t="s">
        <v>109</v>
      </c>
      <c r="C19" t="s">
        <v>110</v>
      </c>
      <c r="D19" s="1" t="s">
        <v>111</v>
      </c>
      <c r="E19" t="s">
        <v>78</v>
      </c>
      <c r="F19" t="s">
        <v>37</v>
      </c>
      <c r="G19">
        <v>1</v>
      </c>
      <c r="H19" s="5">
        <v>8</v>
      </c>
      <c r="I19" t="s">
        <v>38</v>
      </c>
    </row>
    <row r="20" spans="1:9" x14ac:dyDescent="0.45">
      <c r="A20" t="s">
        <v>13</v>
      </c>
      <c r="B20" t="s">
        <v>112</v>
      </c>
      <c r="C20" t="s">
        <v>15</v>
      </c>
      <c r="D20" s="1" t="s">
        <v>0</v>
      </c>
      <c r="E20" t="s">
        <v>16</v>
      </c>
      <c r="F20" t="s">
        <v>17</v>
      </c>
      <c r="G20">
        <v>3</v>
      </c>
      <c r="H20" s="5">
        <v>12.5</v>
      </c>
      <c r="I20" t="s">
        <v>18</v>
      </c>
    </row>
    <row r="21" spans="1:9" x14ac:dyDescent="0.45">
      <c r="A21" t="s">
        <v>113</v>
      </c>
      <c r="B21" t="s">
        <v>114</v>
      </c>
      <c r="C21" t="s">
        <v>115</v>
      </c>
      <c r="D21" s="1" t="s">
        <v>116</v>
      </c>
      <c r="E21" t="s">
        <v>83</v>
      </c>
      <c r="F21" t="s">
        <v>72</v>
      </c>
      <c r="G21">
        <v>2</v>
      </c>
      <c r="H21">
        <v>15</v>
      </c>
      <c r="I21" t="s">
        <v>117</v>
      </c>
    </row>
    <row r="22" spans="1:9" x14ac:dyDescent="0.45">
      <c r="C22"/>
    </row>
    <row r="23" spans="1:9" x14ac:dyDescent="0.45">
      <c r="C23"/>
    </row>
    <row r="24" spans="1:9" x14ac:dyDescent="0.45">
      <c r="C24"/>
    </row>
    <row r="25" spans="1:9" x14ac:dyDescent="0.45">
      <c r="C25"/>
    </row>
    <row r="26" spans="1:9" x14ac:dyDescent="0.45">
      <c r="C26"/>
    </row>
    <row r="27" spans="1:9" x14ac:dyDescent="0.45">
      <c r="C27"/>
    </row>
    <row r="28" spans="1:9" x14ac:dyDescent="0.45">
      <c r="C28"/>
    </row>
    <row r="29" spans="1:9" x14ac:dyDescent="0.45">
      <c r="C29"/>
    </row>
    <row r="30" spans="1:9" x14ac:dyDescent="0.45">
      <c r="C30"/>
    </row>
    <row r="31" spans="1:9" x14ac:dyDescent="0.45">
      <c r="C31"/>
    </row>
    <row r="32" spans="1:9" x14ac:dyDescent="0.45">
      <c r="C32"/>
    </row>
    <row r="33" spans="3:3" x14ac:dyDescent="0.45">
      <c r="C33"/>
    </row>
    <row r="34" spans="3:3" x14ac:dyDescent="0.45">
      <c r="C34"/>
    </row>
    <row r="35" spans="3:3" x14ac:dyDescent="0.45">
      <c r="C35"/>
    </row>
    <row r="36" spans="3:3" x14ac:dyDescent="0.45">
      <c r="C36"/>
    </row>
    <row r="37" spans="3:3" x14ac:dyDescent="0.45">
      <c r="C37"/>
    </row>
    <row r="38" spans="3:3" x14ac:dyDescent="0.45">
      <c r="C38"/>
    </row>
    <row r="39" spans="3:3" x14ac:dyDescent="0.45">
      <c r="C39"/>
    </row>
    <row r="40" spans="3:3" x14ac:dyDescent="0.45">
      <c r="C40"/>
    </row>
    <row r="41" spans="3:3" x14ac:dyDescent="0.45">
      <c r="C41"/>
    </row>
    <row r="42" spans="3:3" x14ac:dyDescent="0.45">
      <c r="C42"/>
    </row>
    <row r="43" spans="3:3" x14ac:dyDescent="0.45">
      <c r="C43"/>
    </row>
    <row r="44" spans="3:3" x14ac:dyDescent="0.45">
      <c r="C44"/>
    </row>
    <row r="45" spans="3:3" x14ac:dyDescent="0.45">
      <c r="C45"/>
    </row>
    <row r="46" spans="3:3" x14ac:dyDescent="0.45">
      <c r="C46"/>
    </row>
    <row r="47" spans="3:3" x14ac:dyDescent="0.45">
      <c r="C47"/>
    </row>
    <row r="48" spans="3:3" x14ac:dyDescent="0.45">
      <c r="C48"/>
    </row>
    <row r="49" spans="3:3" x14ac:dyDescent="0.45">
      <c r="C49"/>
    </row>
    <row r="50" spans="3:3" x14ac:dyDescent="0.45">
      <c r="C50"/>
    </row>
    <row r="51" spans="3:3" x14ac:dyDescent="0.45">
      <c r="C51"/>
    </row>
    <row r="52" spans="3:3" x14ac:dyDescent="0.45">
      <c r="C52"/>
    </row>
    <row r="53" spans="3:3" x14ac:dyDescent="0.45">
      <c r="C53"/>
    </row>
    <row r="54" spans="3:3" x14ac:dyDescent="0.45">
      <c r="C54"/>
    </row>
    <row r="55" spans="3:3" x14ac:dyDescent="0.45">
      <c r="C55"/>
    </row>
    <row r="56" spans="3:3" x14ac:dyDescent="0.45">
      <c r="C56"/>
    </row>
    <row r="57" spans="3:3" x14ac:dyDescent="0.45">
      <c r="C57"/>
    </row>
    <row r="58" spans="3:3" x14ac:dyDescent="0.45">
      <c r="C58"/>
    </row>
    <row r="59" spans="3:3" x14ac:dyDescent="0.45">
      <c r="C59"/>
    </row>
    <row r="60" spans="3:3" x14ac:dyDescent="0.45">
      <c r="C6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AD631-B03D-484A-AA25-6E1407F21B3F}">
  <dimension ref="A1:G36"/>
  <sheetViews>
    <sheetView showGridLines="0" topLeftCell="A12" zoomScale="103" workbookViewId="0">
      <selection activeCell="E21" sqref="E21"/>
    </sheetView>
  </sheetViews>
  <sheetFormatPr defaultRowHeight="14.25" x14ac:dyDescent="0.45"/>
  <cols>
    <col min="1" max="1" width="2.46484375" customWidth="1"/>
    <col min="2" max="2" width="17.796875" customWidth="1"/>
    <col min="3" max="7" width="12.46484375" customWidth="1"/>
    <col min="8" max="8" width="24.86328125" customWidth="1"/>
    <col min="9" max="9" width="19.9296875" customWidth="1"/>
    <col min="10" max="10" width="3.19921875" customWidth="1"/>
    <col min="11" max="11" width="23.46484375" customWidth="1"/>
    <col min="12" max="12" width="16.33203125" customWidth="1"/>
    <col min="14" max="14" width="31.1328125" customWidth="1"/>
    <col min="15" max="15" width="23.1328125" customWidth="1"/>
    <col min="17" max="17" width="31.1328125" customWidth="1"/>
    <col min="18" max="18" width="23.1328125" customWidth="1"/>
  </cols>
  <sheetData>
    <row r="1" spans="1:7" ht="26.65" x14ac:dyDescent="0.85">
      <c r="A1" s="17" t="s">
        <v>151</v>
      </c>
    </row>
    <row r="2" spans="1:7" ht="44" customHeight="1" x14ac:dyDescent="0.45"/>
    <row r="3" spans="1:7" ht="32" customHeight="1" x14ac:dyDescent="0.45">
      <c r="B3" s="27" t="s">
        <v>166</v>
      </c>
      <c r="C3" s="27"/>
      <c r="D3" s="27"/>
      <c r="E3" s="27"/>
      <c r="F3" s="27"/>
      <c r="G3" s="27"/>
    </row>
    <row r="4" spans="1:7" ht="15.75" customHeight="1" x14ac:dyDescent="0.45">
      <c r="B4" s="26" t="s">
        <v>165</v>
      </c>
    </row>
    <row r="5" spans="1:7" ht="29.75" customHeight="1" x14ac:dyDescent="0.5">
      <c r="B5" s="18" t="s">
        <v>152</v>
      </c>
    </row>
    <row r="6" spans="1:7" ht="53.25" customHeight="1" x14ac:dyDescent="0.45">
      <c r="B6" s="27" t="s">
        <v>153</v>
      </c>
      <c r="C6" s="27"/>
      <c r="D6" s="27"/>
      <c r="E6" s="27"/>
      <c r="F6" s="27"/>
      <c r="G6" s="27"/>
    </row>
    <row r="7" spans="1:7" ht="72.400000000000006" customHeight="1" x14ac:dyDescent="0.45">
      <c r="B7" s="31" t="s">
        <v>168</v>
      </c>
      <c r="C7" s="31"/>
      <c r="D7" s="31"/>
      <c r="E7" s="31"/>
      <c r="F7" s="31"/>
      <c r="G7" s="31"/>
    </row>
    <row r="8" spans="1:7" ht="15.75" x14ac:dyDescent="0.5">
      <c r="B8" s="18" t="s">
        <v>154</v>
      </c>
    </row>
    <row r="9" spans="1:7" ht="33.4" customHeight="1" x14ac:dyDescent="0.45">
      <c r="B9" s="27" t="s">
        <v>155</v>
      </c>
      <c r="C9" s="27"/>
      <c r="D9" s="27"/>
      <c r="E9" s="27"/>
      <c r="F9" s="27"/>
      <c r="G9" s="27"/>
    </row>
    <row r="10" spans="1:7" ht="42.4" customHeight="1" x14ac:dyDescent="0.45">
      <c r="B10" s="31" t="s">
        <v>169</v>
      </c>
      <c r="C10" s="31"/>
      <c r="D10" s="31"/>
      <c r="E10" s="31"/>
      <c r="F10" s="31"/>
      <c r="G10" s="31"/>
    </row>
    <row r="11" spans="1:7" ht="15.75" x14ac:dyDescent="0.5">
      <c r="B11" s="18" t="s">
        <v>156</v>
      </c>
    </row>
    <row r="12" spans="1:7" ht="49.5" customHeight="1" x14ac:dyDescent="0.45">
      <c r="B12" s="27" t="s">
        <v>157</v>
      </c>
      <c r="C12" s="27"/>
      <c r="D12" s="27"/>
      <c r="E12" s="27"/>
      <c r="F12" s="27"/>
      <c r="G12" s="27"/>
    </row>
    <row r="13" spans="1:7" ht="49.9" customHeight="1" x14ac:dyDescent="0.45">
      <c r="B13" s="31" t="s">
        <v>170</v>
      </c>
      <c r="C13" s="31"/>
      <c r="D13" s="31"/>
      <c r="E13" s="31"/>
      <c r="F13" s="31"/>
      <c r="G13" s="31"/>
    </row>
    <row r="14" spans="1:7" ht="15.75" x14ac:dyDescent="0.5">
      <c r="B14" s="18" t="s">
        <v>158</v>
      </c>
    </row>
    <row r="15" spans="1:7" ht="48.75" customHeight="1" x14ac:dyDescent="0.45">
      <c r="B15" s="27" t="s">
        <v>162</v>
      </c>
      <c r="C15" s="27"/>
      <c r="D15" s="27"/>
      <c r="E15" s="27"/>
      <c r="F15" s="27"/>
      <c r="G15" s="27"/>
    </row>
    <row r="16" spans="1:7" ht="76.150000000000006" customHeight="1" x14ac:dyDescent="0.45">
      <c r="B16" s="31" t="s">
        <v>171</v>
      </c>
      <c r="C16" s="31"/>
      <c r="D16" s="31"/>
      <c r="E16" s="31"/>
      <c r="F16" s="31"/>
      <c r="G16" s="31"/>
    </row>
    <row r="17" spans="2:7" ht="15.75" x14ac:dyDescent="0.5">
      <c r="B17" s="18" t="s">
        <v>159</v>
      </c>
    </row>
    <row r="18" spans="2:7" ht="32.25" customHeight="1" x14ac:dyDescent="0.45">
      <c r="B18" s="27" t="s">
        <v>160</v>
      </c>
      <c r="C18" s="27"/>
      <c r="D18" s="27"/>
      <c r="E18" s="27"/>
      <c r="F18" s="27"/>
      <c r="G18" s="27"/>
    </row>
    <row r="19" spans="2:7" ht="43.9" customHeight="1" x14ac:dyDescent="0.45">
      <c r="B19" s="31" t="s">
        <v>172</v>
      </c>
      <c r="C19" s="31"/>
      <c r="D19" s="31"/>
      <c r="E19" s="31"/>
      <c r="F19" s="31"/>
      <c r="G19" s="31"/>
    </row>
    <row r="20" spans="2:7" x14ac:dyDescent="0.45">
      <c r="B20" s="28" t="s">
        <v>161</v>
      </c>
      <c r="C20" s="28"/>
      <c r="D20" s="28"/>
      <c r="E20" s="28"/>
      <c r="F20" s="28"/>
      <c r="G20" s="28"/>
    </row>
    <row r="21" spans="2:7" x14ac:dyDescent="0.45">
      <c r="B21" s="26" t="s">
        <v>167</v>
      </c>
    </row>
    <row r="22" spans="2:7" ht="15" customHeight="1" x14ac:dyDescent="0.45">
      <c r="B22" s="25"/>
    </row>
    <row r="23" spans="2:7" ht="15" customHeight="1" x14ac:dyDescent="0.45">
      <c r="B23" s="4" t="s">
        <v>118</v>
      </c>
      <c r="E23" s="4" t="s">
        <v>123</v>
      </c>
    </row>
    <row r="24" spans="2:7" ht="15" customHeight="1" x14ac:dyDescent="0.45">
      <c r="B24" s="23" t="s">
        <v>163</v>
      </c>
      <c r="C24" s="24" t="s">
        <v>164</v>
      </c>
      <c r="E24" s="23" t="s">
        <v>163</v>
      </c>
      <c r="F24" s="24" t="s">
        <v>164</v>
      </c>
    </row>
    <row r="25" spans="2:7" ht="15" customHeight="1" x14ac:dyDescent="0.45">
      <c r="B25" s="19" t="s">
        <v>16</v>
      </c>
      <c r="C25" s="20" t="s">
        <v>36</v>
      </c>
      <c r="E25" s="19" t="s">
        <v>31</v>
      </c>
      <c r="F25" s="20" t="s">
        <v>25</v>
      </c>
    </row>
    <row r="26" spans="2:7" ht="15" customHeight="1" x14ac:dyDescent="0.45">
      <c r="B26" s="19" t="s">
        <v>23</v>
      </c>
      <c r="C26" s="20" t="s">
        <v>36</v>
      </c>
      <c r="E26" s="19" t="s">
        <v>124</v>
      </c>
      <c r="F26" s="20" t="s">
        <v>25</v>
      </c>
    </row>
    <row r="27" spans="2:7" ht="15" customHeight="1" x14ac:dyDescent="0.45">
      <c r="B27" s="19" t="s">
        <v>94</v>
      </c>
      <c r="C27" s="20" t="s">
        <v>36</v>
      </c>
      <c r="E27" s="19" t="s">
        <v>84</v>
      </c>
      <c r="F27" s="20" t="s">
        <v>51</v>
      </c>
    </row>
    <row r="28" spans="2:7" ht="15" customHeight="1" x14ac:dyDescent="0.45">
      <c r="B28" s="19" t="s">
        <v>119</v>
      </c>
      <c r="C28" s="20" t="s">
        <v>36</v>
      </c>
      <c r="E28" s="19" t="s">
        <v>125</v>
      </c>
      <c r="F28" s="20" t="s">
        <v>126</v>
      </c>
    </row>
    <row r="29" spans="2:7" ht="15" customHeight="1" x14ac:dyDescent="0.45">
      <c r="B29" s="19" t="s">
        <v>43</v>
      </c>
      <c r="C29" s="20" t="s">
        <v>56</v>
      </c>
      <c r="E29" s="21" t="s">
        <v>127</v>
      </c>
      <c r="F29" s="22" t="s">
        <v>117</v>
      </c>
    </row>
    <row r="30" spans="2:7" ht="15" customHeight="1" x14ac:dyDescent="0.45">
      <c r="B30" s="19" t="s">
        <v>50</v>
      </c>
      <c r="C30" s="20" t="s">
        <v>56</v>
      </c>
    </row>
    <row r="31" spans="2:7" ht="15" customHeight="1" x14ac:dyDescent="0.45">
      <c r="B31" s="19" t="s">
        <v>120</v>
      </c>
      <c r="C31" s="20" t="s">
        <v>56</v>
      </c>
    </row>
    <row r="32" spans="2:7" ht="15" customHeight="1" x14ac:dyDescent="0.45">
      <c r="B32" s="19" t="s">
        <v>121</v>
      </c>
      <c r="C32" s="20" t="s">
        <v>71</v>
      </c>
    </row>
    <row r="33" spans="2:3" ht="15" customHeight="1" x14ac:dyDescent="0.45">
      <c r="B33" s="19" t="s">
        <v>67</v>
      </c>
      <c r="C33" s="20" t="s">
        <v>71</v>
      </c>
    </row>
    <row r="34" spans="2:3" ht="15" customHeight="1" x14ac:dyDescent="0.45">
      <c r="B34" s="19" t="s">
        <v>122</v>
      </c>
      <c r="C34" s="20" t="s">
        <v>78</v>
      </c>
    </row>
    <row r="35" spans="2:3" ht="15" customHeight="1" x14ac:dyDescent="0.45">
      <c r="B35" s="21" t="s">
        <v>83</v>
      </c>
      <c r="C35" s="22" t="s">
        <v>78</v>
      </c>
    </row>
    <row r="36" spans="2:3" ht="15" customHeight="1" x14ac:dyDescent="0.45"/>
  </sheetData>
  <mergeCells count="12">
    <mergeCell ref="B20:G20"/>
    <mergeCell ref="B3:G3"/>
    <mergeCell ref="B6:G6"/>
    <mergeCell ref="B9:G9"/>
    <mergeCell ref="B12:G12"/>
    <mergeCell ref="B15:G15"/>
    <mergeCell ref="B18:G18"/>
    <mergeCell ref="B7:G7"/>
    <mergeCell ref="B10:G10"/>
    <mergeCell ref="B13:G13"/>
    <mergeCell ref="B16:G16"/>
    <mergeCell ref="B19:G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799F2-C137-4D1B-AEFE-9161A063F049}">
  <dimension ref="A1:K21"/>
  <sheetViews>
    <sheetView tabSelected="1" zoomScale="59" workbookViewId="0">
      <selection activeCell="P11" sqref="P11"/>
    </sheetView>
  </sheetViews>
  <sheetFormatPr defaultRowHeight="14.25" x14ac:dyDescent="0.45"/>
  <cols>
    <col min="1" max="1" width="12.46484375" customWidth="1"/>
    <col min="2" max="2" width="19.53125" customWidth="1"/>
    <col min="3" max="3" width="32" customWidth="1"/>
    <col min="4" max="4" width="16.86328125" customWidth="1"/>
    <col min="5" max="5" width="20.46484375" customWidth="1"/>
    <col min="6" max="6" width="13.33203125" customWidth="1"/>
    <col min="7" max="7" width="12.46484375" customWidth="1"/>
    <col min="8" max="9" width="14.19921875" customWidth="1"/>
    <col min="10" max="11" width="15.1328125" customWidth="1"/>
    <col min="12" max="12" width="11.3984375" bestFit="1" customWidth="1"/>
    <col min="13" max="13" width="9.73046875" bestFit="1" customWidth="1"/>
    <col min="15" max="15" width="14.06640625" bestFit="1" customWidth="1"/>
  </cols>
  <sheetData>
    <row r="1" spans="1:11" x14ac:dyDescent="0.45">
      <c r="A1" s="9" t="s">
        <v>128</v>
      </c>
      <c r="B1" s="9" t="s">
        <v>129</v>
      </c>
      <c r="C1" s="9" t="s">
        <v>130</v>
      </c>
      <c r="D1" s="9" t="s">
        <v>131</v>
      </c>
      <c r="E1" s="9" t="s">
        <v>132</v>
      </c>
      <c r="F1" s="9" t="s">
        <v>133</v>
      </c>
      <c r="G1" s="10" t="s">
        <v>134</v>
      </c>
      <c r="H1" s="10" t="s">
        <v>135</v>
      </c>
      <c r="I1" s="9" t="s">
        <v>136</v>
      </c>
      <c r="J1" s="10" t="s">
        <v>137</v>
      </c>
      <c r="K1" s="10" t="s">
        <v>3</v>
      </c>
    </row>
    <row r="2" spans="1:11" x14ac:dyDescent="0.45">
      <c r="A2" s="7" t="str">
        <f>UPPER(TRIM('Raw Data'!A2))</f>
        <v>ORD-001</v>
      </c>
      <c r="B2" s="7" t="str">
        <f>PROPER(TRIM('Raw Data'!B2))</f>
        <v>John Smith</v>
      </c>
      <c r="C2" s="7" t="str">
        <f>LOWER(TRIM('Raw Data'!C2))</f>
        <v>john.smith@email.com</v>
      </c>
      <c r="D2" s="11">
        <f>IFERROR(DATEVALUE(TRIM('Raw Data'!D2)),"")</f>
        <v>45352</v>
      </c>
      <c r="E2" s="7" t="str">
        <f>IFERROR(_xlfn.XLOOKUP(UPPER(TRIM('Raw Data'!E2)),'Cleaning Process'!$B$25:$B$35,'Cleaning Process'!$C$25:$C$35),"(unmapped)")</f>
        <v>United States</v>
      </c>
      <c r="F2" s="7" t="str">
        <f>PROPER(TRIM('Raw Data'!F2))</f>
        <v>Widget</v>
      </c>
      <c r="G2" s="12">
        <f>IF('Raw Data'!G2="","",VALUE('Raw Data'!G2))</f>
        <v>3</v>
      </c>
      <c r="H2" s="13">
        <f>IF('Raw Data'!H2="","",VALUE(SUBSTITUTE(TRIM('Raw Data'!H2),"$","")))</f>
        <v>12.5</v>
      </c>
      <c r="I2" s="7" t="str">
        <f>IFERROR(_xlfn.XLOOKUP(UPPER(TRIM('Raw Data'!I2)),'Cleaning Process'!$E$25:$E$29,'Cleaning Process'!$F$25:$F$29),"(unmapped)")</f>
        <v>Paid</v>
      </c>
      <c r="J2" s="13">
        <f>IF(OR(G2="",H2=""),"",G2*H2)</f>
        <v>37.5</v>
      </c>
      <c r="K2" s="32" t="str">
        <f>IF(COUNTIF($A$2:A2,A2)&gt;1,"Duplicate","Valid")</f>
        <v>Valid</v>
      </c>
    </row>
    <row r="3" spans="1:11" x14ac:dyDescent="0.45">
      <c r="A3" s="7" t="str">
        <f>UPPER(TRIM('Raw Data'!A3))</f>
        <v>ORD-002</v>
      </c>
      <c r="B3" s="7" t="str">
        <f>PROPER(TRIM('Raw Data'!B3))</f>
        <v>Jane Doe</v>
      </c>
      <c r="C3" s="7" t="str">
        <f>LOWER(TRIM('Raw Data'!C3))</f>
        <v>jane.doe@email.com</v>
      </c>
      <c r="D3" s="11">
        <f>IFERROR(DATEVALUE(TRIM('Raw Data'!D3)),"")</f>
        <v>45415</v>
      </c>
      <c r="E3" s="7" t="str">
        <f>IFERROR(_xlfn.XLOOKUP(UPPER(TRIM('Raw Data'!E3)),'Cleaning Process'!$B$25:$B$35,'Cleaning Process'!$C$25:$C$35),"(unmapped)")</f>
        <v>United States</v>
      </c>
      <c r="F3" s="7" t="str">
        <f>PROPER(TRIM('Raw Data'!F3))</f>
        <v>Widget</v>
      </c>
      <c r="G3" s="12">
        <f>IF('Raw Data'!G3="","",VALUE('Raw Data'!G3))</f>
        <v>5</v>
      </c>
      <c r="H3" s="13">
        <f>IF('Raw Data'!H3="","",VALUE(SUBSTITUTE(TRIM('Raw Data'!H3),"$","")))</f>
        <v>12.5</v>
      </c>
      <c r="I3" s="7" t="str">
        <f>IFERROR(_xlfn.XLOOKUP(UPPER(TRIM('Raw Data'!I3)),'Cleaning Process'!$E$25:$E$29,'Cleaning Process'!$F$25:$F$29),"(unmapped)")</f>
        <v>Paid</v>
      </c>
      <c r="J3" s="13">
        <f t="shared" ref="J3:J21" si="0">IF(OR(G3="",H3=""),"",G3*H3)</f>
        <v>62.5</v>
      </c>
      <c r="K3" s="32" t="str">
        <f>IF(COUNTIF($A$2:A3,A3)&gt;1,"Duplicate","Valid")</f>
        <v>Valid</v>
      </c>
    </row>
    <row r="4" spans="1:11" x14ac:dyDescent="0.45">
      <c r="A4" s="7" t="str">
        <f>UPPER(TRIM('Raw Data'!A4))</f>
        <v>ORD-003</v>
      </c>
      <c r="B4" s="7" t="str">
        <f>PROPER(TRIM('Raw Data'!B4))</f>
        <v>Maria Garcia</v>
      </c>
      <c r="C4" s="7" t="str">
        <f>LOWER(TRIM('Raw Data'!C4))</f>
        <v>maria@email.com</v>
      </c>
      <c r="D4" s="11">
        <f>IFERROR(DATEVALUE(TRIM('Raw Data'!D4)),"")</f>
        <v>45358</v>
      </c>
      <c r="E4" s="7" t="str">
        <f>IFERROR(_xlfn.XLOOKUP(UPPER(TRIM('Raw Data'!E4)),'Cleaning Process'!$B$25:$B$35,'Cleaning Process'!$C$25:$C$35),"(unmapped)")</f>
        <v>United States</v>
      </c>
      <c r="F4" s="7" t="str">
        <f>PROPER(TRIM('Raw Data'!F4))</f>
        <v>Gadget</v>
      </c>
      <c r="G4" s="12" t="str">
        <f>IF('Raw Data'!G4="","",VALUE('Raw Data'!G4))</f>
        <v/>
      </c>
      <c r="H4" s="13">
        <f>IF('Raw Data'!H4="","",VALUE(SUBSTITUTE(TRIM('Raw Data'!H4),"$","")))</f>
        <v>8</v>
      </c>
      <c r="I4" s="7" t="str">
        <f>IFERROR(_xlfn.XLOOKUP(UPPER(TRIM('Raw Data'!I4)),'Cleaning Process'!$E$25:$E$29,'Cleaning Process'!$F$25:$F$29),"(unmapped)")</f>
        <v>Paid</v>
      </c>
      <c r="J4" s="13" t="str">
        <f t="shared" si="0"/>
        <v/>
      </c>
      <c r="K4" s="32" t="str">
        <f>IF(COUNTIF($A$2:A4,A4)&gt;1,"Duplicate","Valid")</f>
        <v>Valid</v>
      </c>
    </row>
    <row r="5" spans="1:11" x14ac:dyDescent="0.45">
      <c r="A5" s="7" t="str">
        <f>UPPER(TRIM('Raw Data'!A5))</f>
        <v>ORD-004</v>
      </c>
      <c r="B5" s="7" t="str">
        <f>PROPER(TRIM('Raw Data'!B5))</f>
        <v>Peter Jones</v>
      </c>
      <c r="C5" s="7" t="str">
        <f>LOWER(TRIM('Raw Data'!C5))</f>
        <v>peter.jones@email.com</v>
      </c>
      <c r="D5" s="11">
        <f>IFERROR(DATEVALUE(TRIM('Raw Data'!D5)),"")</f>
        <v>45360</v>
      </c>
      <c r="E5" s="7" t="str">
        <f>IFERROR(_xlfn.XLOOKUP(UPPER(TRIM('Raw Data'!E5)),'Cleaning Process'!$B$25:$B$35,'Cleaning Process'!$C$25:$C$35),"(unmapped)")</f>
        <v>United States</v>
      </c>
      <c r="F5" s="7" t="str">
        <f>PROPER(TRIM('Raw Data'!F5))</f>
        <v>Gadget</v>
      </c>
      <c r="G5" s="12">
        <f>IF('Raw Data'!G5="","",VALUE('Raw Data'!G5))</f>
        <v>2</v>
      </c>
      <c r="H5" s="13">
        <f>IF('Raw Data'!H5="","",VALUE(SUBSTITUTE(TRIM('Raw Data'!H5),"$","")))</f>
        <v>8</v>
      </c>
      <c r="I5" s="7" t="str">
        <f>IFERROR(_xlfn.XLOOKUP(UPPER(TRIM('Raw Data'!I5)),'Cleaning Process'!$E$25:$E$29,'Cleaning Process'!$F$25:$F$29),"(unmapped)")</f>
        <v>Pending</v>
      </c>
      <c r="J5" s="13">
        <f t="shared" si="0"/>
        <v>16</v>
      </c>
      <c r="K5" s="32" t="str">
        <f>IF(COUNTIF($A$2:A5,A5)&gt;1,"Duplicate","Valid")</f>
        <v>Valid</v>
      </c>
    </row>
    <row r="6" spans="1:11" x14ac:dyDescent="0.45">
      <c r="A6" s="7" t="str">
        <f>UPPER(TRIM('Raw Data'!A6))</f>
        <v>ORD-005</v>
      </c>
      <c r="B6" s="7" t="str">
        <f>PROPER(TRIM('Raw Data'!B6))</f>
        <v>Li Wei</v>
      </c>
      <c r="C6" s="7" t="str">
        <f>LOWER(TRIM('Raw Data'!C6))</f>
        <v>li.wei@email.com</v>
      </c>
      <c r="D6" s="11">
        <f>IFERROR(DATEVALUE(TRIM('Raw Data'!D6)),"")</f>
        <v>45363</v>
      </c>
      <c r="E6" s="7" t="str">
        <f>IFERROR(_xlfn.XLOOKUP(UPPER(TRIM('Raw Data'!E6)),'Cleaning Process'!$B$25:$B$35,'Cleaning Process'!$C$25:$C$35),"(unmapped)")</f>
        <v>United Kingdom</v>
      </c>
      <c r="F6" s="7" t="str">
        <f>PROPER(TRIM('Raw Data'!F6))</f>
        <v>Gizmo</v>
      </c>
      <c r="G6" s="12">
        <f>IF('Raw Data'!G6="","",VALUE('Raw Data'!G6))</f>
        <v>10</v>
      </c>
      <c r="H6" s="13">
        <f>IF('Raw Data'!H6="","",VALUE(SUBSTITUTE(TRIM('Raw Data'!H6),"$","")))</f>
        <v>15</v>
      </c>
      <c r="I6" s="7" t="str">
        <f>IFERROR(_xlfn.XLOOKUP(UPPER(TRIM('Raw Data'!I6)),'Cleaning Process'!$E$25:$E$29,'Cleaning Process'!$F$25:$F$29),"(unmapped)")</f>
        <v>Paid</v>
      </c>
      <c r="J6" s="13">
        <f t="shared" si="0"/>
        <v>150</v>
      </c>
      <c r="K6" s="32" t="str">
        <f>IF(COUNTIF($A$2:A6,A6)&gt;1,"Duplicate","Valid")</f>
        <v>Valid</v>
      </c>
    </row>
    <row r="7" spans="1:11" x14ac:dyDescent="0.45">
      <c r="A7" s="7" t="str">
        <f>UPPER(TRIM('Raw Data'!A7))</f>
        <v>ORD-006</v>
      </c>
      <c r="B7" s="7" t="str">
        <f>PROPER(TRIM('Raw Data'!B7))</f>
        <v>Sara O'Neil</v>
      </c>
      <c r="C7" s="7" t="str">
        <f>LOWER(TRIM('Raw Data'!C7))</f>
        <v>sara@email.com</v>
      </c>
      <c r="D7" s="11">
        <f>IFERROR(DATEVALUE(TRIM('Raw Data'!D7)),"")</f>
        <v>45366</v>
      </c>
      <c r="E7" s="7" t="str">
        <f>IFERROR(_xlfn.XLOOKUP(UPPER(TRIM('Raw Data'!E7)),'Cleaning Process'!$B$25:$B$35,'Cleaning Process'!$C$25:$C$35),"(unmapped)")</f>
        <v>United Kingdom</v>
      </c>
      <c r="F7" s="7" t="str">
        <f>PROPER(TRIM('Raw Data'!F7))</f>
        <v>Widget</v>
      </c>
      <c r="G7" s="12">
        <f>IF('Raw Data'!G7="","",VALUE('Raw Data'!G7))</f>
        <v>4</v>
      </c>
      <c r="H7" s="13">
        <f>IF('Raw Data'!H7="","",VALUE(SUBSTITUTE(TRIM('Raw Data'!H7),"$","")))</f>
        <v>12.5</v>
      </c>
      <c r="I7" s="7" t="str">
        <f>IFERROR(_xlfn.XLOOKUP(UPPER(TRIM('Raw Data'!I7)),'Cleaning Process'!$E$25:$E$29,'Cleaning Process'!$F$25:$F$29),"(unmapped)")</f>
        <v>Pending</v>
      </c>
      <c r="J7" s="13">
        <f t="shared" si="0"/>
        <v>50</v>
      </c>
      <c r="K7" s="32" t="str">
        <f>IF(COUNTIF($A$2:A7,A7)&gt;1,"Duplicate","Valid")</f>
        <v>Valid</v>
      </c>
    </row>
    <row r="8" spans="1:11" x14ac:dyDescent="0.45">
      <c r="A8" s="7" t="str">
        <f>UPPER(TRIM('Raw Data'!A8))</f>
        <v>ORD-007</v>
      </c>
      <c r="B8" s="7" t="str">
        <f>PROPER(TRIM('Raw Data'!B8))</f>
        <v>Tom Brown</v>
      </c>
      <c r="C8" s="7" t="str">
        <f>LOWER(TRIM('Raw Data'!C8))</f>
        <v>tom.brown@email.com</v>
      </c>
      <c r="D8" s="11">
        <f>IFERROR(DATEVALUE(TRIM('Raw Data'!D8)),"")</f>
        <v>45369</v>
      </c>
      <c r="E8" s="7" t="str">
        <f>IFERROR(_xlfn.XLOOKUP(UPPER(TRIM('Raw Data'!E8)),'Cleaning Process'!$B$25:$B$35,'Cleaning Process'!$C$25:$C$35),"(unmapped)")</f>
        <v>United Kingdom</v>
      </c>
      <c r="F8" s="7" t="str">
        <f>PROPER(TRIM('Raw Data'!F8))</f>
        <v>Widget</v>
      </c>
      <c r="G8" s="12">
        <f>IF('Raw Data'!G8="","",VALUE('Raw Data'!G8))</f>
        <v>1</v>
      </c>
      <c r="H8" s="13">
        <f>IF('Raw Data'!H8="","",VALUE(SUBSTITUTE(TRIM('Raw Data'!H8),"$","")))</f>
        <v>12.5</v>
      </c>
      <c r="I8" s="7" t="str">
        <f>IFERROR(_xlfn.XLOOKUP(UPPER(TRIM('Raw Data'!I8)),'Cleaning Process'!$E$25:$E$29,'Cleaning Process'!$F$25:$F$29),"(unmapped)")</f>
        <v>Unpaid</v>
      </c>
      <c r="J8" s="13">
        <f t="shared" si="0"/>
        <v>12.5</v>
      </c>
      <c r="K8" s="32" t="str">
        <f>IF(COUNTIF($A$2:A8,A8)&gt;1,"Duplicate","Valid")</f>
        <v>Valid</v>
      </c>
    </row>
    <row r="9" spans="1:11" x14ac:dyDescent="0.45">
      <c r="A9" s="7" t="str">
        <f>UPPER(TRIM('Raw Data'!A9))</f>
        <v>ORD-008</v>
      </c>
      <c r="B9" s="7" t="str">
        <f>PROPER(TRIM('Raw Data'!B9))</f>
        <v>Anna Muller</v>
      </c>
      <c r="C9" s="7" t="str">
        <f>LOWER(TRIM('Raw Data'!C9))</f>
        <v>anna.muller@email.com</v>
      </c>
      <c r="D9" s="11">
        <f>IFERROR(DATEVALUE(TRIM('Raw Data'!D9)),"")</f>
        <v>45371</v>
      </c>
      <c r="E9" s="7" t="str">
        <f>IFERROR(_xlfn.XLOOKUP(UPPER(TRIM('Raw Data'!E9)),'Cleaning Process'!$B$25:$B$35,'Cleaning Process'!$C$25:$C$35),"(unmapped)")</f>
        <v>Germany</v>
      </c>
      <c r="F9" s="7" t="str">
        <f>PROPER(TRIM('Raw Data'!F9))</f>
        <v>Gizmo</v>
      </c>
      <c r="G9" s="12" t="str">
        <f>IF('Raw Data'!G9="","",VALUE('Raw Data'!G9))</f>
        <v/>
      </c>
      <c r="H9" s="13">
        <f>IF('Raw Data'!H9="","",VALUE(SUBSTITUTE(TRIM('Raw Data'!H9),"$","")))</f>
        <v>15</v>
      </c>
      <c r="I9" s="7" t="str">
        <f>IFERROR(_xlfn.XLOOKUP(UPPER(TRIM('Raw Data'!I9)),'Cleaning Process'!$E$25:$E$29,'Cleaning Process'!$F$25:$F$29),"(unmapped)")</f>
        <v>Paid</v>
      </c>
      <c r="J9" s="13" t="str">
        <f t="shared" si="0"/>
        <v/>
      </c>
      <c r="K9" s="32" t="str">
        <f>IF(COUNTIF($A$2:A9,A9)&gt;1,"Duplicate","Valid")</f>
        <v>Valid</v>
      </c>
    </row>
    <row r="10" spans="1:11" x14ac:dyDescent="0.45">
      <c r="A10" s="7" t="str">
        <f>UPPER(TRIM('Raw Data'!A10))</f>
        <v>ORD-009</v>
      </c>
      <c r="B10" s="7" t="str">
        <f>PROPER(TRIM('Raw Data'!B10))</f>
        <v>John Smith</v>
      </c>
      <c r="C10" s="7" t="str">
        <f>LOWER(TRIM('Raw Data'!C10))</f>
        <v>john.smith@email.com</v>
      </c>
      <c r="D10" s="11">
        <f>IFERROR(DATEVALUE(TRIM('Raw Data'!D10)),"")</f>
        <v>45373</v>
      </c>
      <c r="E10" s="7" t="str">
        <f>IFERROR(_xlfn.XLOOKUP(UPPER(TRIM('Raw Data'!E10)),'Cleaning Process'!$B$25:$B$35,'Cleaning Process'!$C$25:$C$35),"(unmapped)")</f>
        <v>Germany</v>
      </c>
      <c r="F10" s="7" t="str">
        <f>PROPER(TRIM('Raw Data'!F10))</f>
        <v>Gadget</v>
      </c>
      <c r="G10" s="12">
        <f>IF('Raw Data'!G10="","",VALUE('Raw Data'!G10))</f>
        <v>6</v>
      </c>
      <c r="H10" s="13">
        <f>IF('Raw Data'!H10="","",VALUE(SUBSTITUTE(TRIM('Raw Data'!H10),"$","")))</f>
        <v>8</v>
      </c>
      <c r="I10" s="7" t="str">
        <f>IFERROR(_xlfn.XLOOKUP(UPPER(TRIM('Raw Data'!I10)),'Cleaning Process'!$E$25:$E$29,'Cleaning Process'!$F$25:$F$29),"(unmapped)")</f>
        <v>Paid</v>
      </c>
      <c r="J10" s="13">
        <f t="shared" si="0"/>
        <v>48</v>
      </c>
      <c r="K10" s="32" t="str">
        <f>IF(COUNTIF($A$2:A10,A10)&gt;1,"Duplicate","Valid")</f>
        <v>Valid</v>
      </c>
    </row>
    <row r="11" spans="1:11" x14ac:dyDescent="0.45">
      <c r="A11" s="7" t="str">
        <f>UPPER(TRIM('Raw Data'!A11))</f>
        <v>ORD-010</v>
      </c>
      <c r="B11" s="7" t="str">
        <f>PROPER(TRIM('Raw Data'!B11))</f>
        <v>Carlos Ruiz</v>
      </c>
      <c r="C11" s="7" t="str">
        <f>LOWER(TRIM('Raw Data'!C11))</f>
        <v>carlos@email.com</v>
      </c>
      <c r="D11" s="11">
        <f>IFERROR(DATEVALUE(TRIM('Raw Data'!D11)),"")</f>
        <v>45376</v>
      </c>
      <c r="E11" s="7" t="str">
        <f>IFERROR(_xlfn.XLOOKUP(UPPER(TRIM('Raw Data'!E11)),'Cleaning Process'!$B$25:$B$35,'Cleaning Process'!$C$25:$C$35),"(unmapped)")</f>
        <v>Germany</v>
      </c>
      <c r="F11" s="7" t="str">
        <f>PROPER(TRIM('Raw Data'!F11))</f>
        <v>Gizmo</v>
      </c>
      <c r="G11" s="12">
        <f>IF('Raw Data'!G11="","",VALUE('Raw Data'!G11))</f>
        <v>3</v>
      </c>
      <c r="H11" s="13">
        <f>IF('Raw Data'!H11="","",VALUE(SUBSTITUTE(TRIM('Raw Data'!H11),"$","")))</f>
        <v>15</v>
      </c>
      <c r="I11" s="7" t="str">
        <f>IFERROR(_xlfn.XLOOKUP(UPPER(TRIM('Raw Data'!I11)),'Cleaning Process'!$E$25:$E$29,'Cleaning Process'!$F$25:$F$29),"(unmapped)")</f>
        <v>Cancelled</v>
      </c>
      <c r="J11" s="13">
        <f t="shared" si="0"/>
        <v>45</v>
      </c>
      <c r="K11" s="32" t="str">
        <f>IF(COUNTIF($A$2:A11,A11)&gt;1,"Duplicate","Valid")</f>
        <v>Valid</v>
      </c>
    </row>
    <row r="12" spans="1:11" x14ac:dyDescent="0.45">
      <c r="A12" s="7" t="str">
        <f>UPPER(TRIM('Raw Data'!A12))</f>
        <v>ORD-011</v>
      </c>
      <c r="B12" s="7" t="str">
        <f>PROPER(TRIM('Raw Data'!B12))</f>
        <v>Emma Watson</v>
      </c>
      <c r="C12" s="7" t="str">
        <f>LOWER(TRIM('Raw Data'!C12))</f>
        <v>emma@email.com</v>
      </c>
      <c r="D12" s="11">
        <f>IFERROR(DATEVALUE(TRIM('Raw Data'!D12)),"")</f>
        <v>45379</v>
      </c>
      <c r="E12" s="7" t="str">
        <f>IFERROR(_xlfn.XLOOKUP(UPPER(TRIM('Raw Data'!E12)),'Cleaning Process'!$B$25:$B$35,'Cleaning Process'!$C$25:$C$35),"(unmapped)")</f>
        <v>Canada</v>
      </c>
      <c r="F12" s="7" t="str">
        <f>PROPER(TRIM('Raw Data'!F12))</f>
        <v>Widget</v>
      </c>
      <c r="G12" s="12">
        <f>IF('Raw Data'!G12="","",VALUE('Raw Data'!G12))</f>
        <v>8</v>
      </c>
      <c r="H12" s="13">
        <f>IF('Raw Data'!H12="","",VALUE(SUBSTITUTE(TRIM('Raw Data'!H12),"$","")))</f>
        <v>12.5</v>
      </c>
      <c r="I12" s="7" t="str">
        <f>IFERROR(_xlfn.XLOOKUP(UPPER(TRIM('Raw Data'!I12)),'Cleaning Process'!$E$25:$E$29,'Cleaning Process'!$F$25:$F$29),"(unmapped)")</f>
        <v>Paid</v>
      </c>
      <c r="J12" s="13">
        <f t="shared" si="0"/>
        <v>100</v>
      </c>
      <c r="K12" s="32" t="str">
        <f>IF(COUNTIF($A$2:A12,A12)&gt;1,"Duplicate","Valid")</f>
        <v>Valid</v>
      </c>
    </row>
    <row r="13" spans="1:11" x14ac:dyDescent="0.45">
      <c r="A13" s="7" t="str">
        <f>UPPER(TRIM('Raw Data'!A13))</f>
        <v>ORD-012</v>
      </c>
      <c r="B13" s="7" t="str">
        <f>PROPER(TRIM('Raw Data'!B13))</f>
        <v>Raj Patel</v>
      </c>
      <c r="C13" s="7" t="str">
        <f>LOWER(TRIM('Raw Data'!C13))</f>
        <v>raj.patel@email.com</v>
      </c>
      <c r="D13" s="11">
        <f>IFERROR(DATEVALUE(TRIM('Raw Data'!D13)),"")</f>
        <v>45383</v>
      </c>
      <c r="E13" s="7" t="str">
        <f>IFERROR(_xlfn.XLOOKUP(UPPER(TRIM('Raw Data'!E13)),'Cleaning Process'!$B$25:$B$35,'Cleaning Process'!$C$25:$C$35),"(unmapped)")</f>
        <v>Canada</v>
      </c>
      <c r="F13" s="7" t="str">
        <f>PROPER(TRIM('Raw Data'!F13))</f>
        <v>Gadget</v>
      </c>
      <c r="G13" s="12">
        <f>IF('Raw Data'!G13="","",VALUE('Raw Data'!G13))</f>
        <v>2</v>
      </c>
      <c r="H13" s="13">
        <f>IF('Raw Data'!H13="","",VALUE(SUBSTITUTE(TRIM('Raw Data'!H13),"$","")))</f>
        <v>8</v>
      </c>
      <c r="I13" s="7" t="str">
        <f>IFERROR(_xlfn.XLOOKUP(UPPER(TRIM('Raw Data'!I13)),'Cleaning Process'!$E$25:$E$29,'Cleaning Process'!$F$25:$F$29),"(unmapped)")</f>
        <v>Pending</v>
      </c>
      <c r="J13" s="13">
        <f t="shared" si="0"/>
        <v>16</v>
      </c>
      <c r="K13" s="32" t="str">
        <f>IF(COUNTIF($A$2:A13,A13)&gt;1,"Duplicate","Valid")</f>
        <v>Valid</v>
      </c>
    </row>
    <row r="14" spans="1:11" x14ac:dyDescent="0.45">
      <c r="A14" s="7" t="str">
        <f>UPPER(TRIM('Raw Data'!A14))</f>
        <v>ORD-013</v>
      </c>
      <c r="B14" s="7" t="str">
        <f>PROPER(TRIM('Raw Data'!B14))</f>
        <v>Nina Lopez</v>
      </c>
      <c r="C14" s="7" t="str">
        <f>LOWER(TRIM('Raw Data'!C14))</f>
        <v>nina@email.com</v>
      </c>
      <c r="D14" s="11">
        <f>IFERROR(DATEVALUE(TRIM('Raw Data'!D14)),"")</f>
        <v>45355</v>
      </c>
      <c r="E14" s="7" t="str">
        <f>IFERROR(_xlfn.XLOOKUP(UPPER(TRIM('Raw Data'!E14)),'Cleaning Process'!$B$25:$B$35,'Cleaning Process'!$C$25:$C$35),"(unmapped)")</f>
        <v>United States</v>
      </c>
      <c r="F14" s="7" t="str">
        <f>PROPER(TRIM('Raw Data'!F14))</f>
        <v>Gizmo</v>
      </c>
      <c r="G14" s="12">
        <f>IF('Raw Data'!G14="","",VALUE('Raw Data'!G14))</f>
        <v>5</v>
      </c>
      <c r="H14" s="13" t="str">
        <f>IF('Raw Data'!H14="","",VALUE(SUBSTITUTE(TRIM('Raw Data'!H14),"$","")))</f>
        <v/>
      </c>
      <c r="I14" s="7" t="str">
        <f>IFERROR(_xlfn.XLOOKUP(UPPER(TRIM('Raw Data'!I14)),'Cleaning Process'!$E$25:$E$29,'Cleaning Process'!$F$25:$F$29),"(unmapped)")</f>
        <v>Paid</v>
      </c>
      <c r="J14" s="13" t="str">
        <f t="shared" si="0"/>
        <v/>
      </c>
      <c r="K14" s="32" t="str">
        <f>IF(COUNTIF($A$2:A14,A14)&gt;1,"Duplicate","Valid")</f>
        <v>Valid</v>
      </c>
    </row>
    <row r="15" spans="1:11" x14ac:dyDescent="0.45">
      <c r="A15" s="7" t="str">
        <f>UPPER(TRIM('Raw Data'!A15))</f>
        <v>ORD-014</v>
      </c>
      <c r="B15" s="7" t="str">
        <f>PROPER(TRIM('Raw Data'!B15))</f>
        <v>Mike Ross</v>
      </c>
      <c r="C15" s="7" t="str">
        <f>LOWER(TRIM('Raw Data'!C15))</f>
        <v>mike.ross@email.com</v>
      </c>
      <c r="D15" s="11">
        <f>IFERROR(DATEVALUE(TRIM('Raw Data'!D15)),"")</f>
        <v>45387</v>
      </c>
      <c r="E15" s="7" t="str">
        <f>IFERROR(_xlfn.XLOOKUP(UPPER(TRIM('Raw Data'!E15)),'Cleaning Process'!$B$25:$B$35,'Cleaning Process'!$C$25:$C$35),"(unmapped)")</f>
        <v>United States</v>
      </c>
      <c r="F15" s="7" t="str">
        <f>PROPER(TRIM('Raw Data'!F15))</f>
        <v>Widget</v>
      </c>
      <c r="G15" s="12" t="str">
        <f>IF('Raw Data'!G15="","",VALUE('Raw Data'!G15))</f>
        <v/>
      </c>
      <c r="H15" s="13">
        <f>IF('Raw Data'!H15="","",VALUE(SUBSTITUTE(TRIM('Raw Data'!H15),"$","")))</f>
        <v>12.5</v>
      </c>
      <c r="I15" s="7" t="str">
        <f>IFERROR(_xlfn.XLOOKUP(UPPER(TRIM('Raw Data'!I15)),'Cleaning Process'!$E$25:$E$29,'Cleaning Process'!$F$25:$F$29),"(unmapped)")</f>
        <v>Paid</v>
      </c>
      <c r="J15" s="13" t="str">
        <f t="shared" si="0"/>
        <v/>
      </c>
      <c r="K15" s="32" t="str">
        <f>IF(COUNTIF($A$2:A15,A15)&gt;1,"Duplicate","Valid")</f>
        <v>Valid</v>
      </c>
    </row>
    <row r="16" spans="1:11" x14ac:dyDescent="0.45">
      <c r="A16" s="7" t="str">
        <f>UPPER(TRIM('Raw Data'!A16))</f>
        <v>ORD-015</v>
      </c>
      <c r="B16" s="7" t="str">
        <f>PROPER(TRIM('Raw Data'!B16))</f>
        <v>Lucy Kim</v>
      </c>
      <c r="C16" s="7" t="str">
        <f>LOWER(TRIM('Raw Data'!C16))</f>
        <v>lucy.kim@email.com</v>
      </c>
      <c r="D16" s="11">
        <f>IFERROR(DATEVALUE(TRIM('Raw Data'!D16)),"")</f>
        <v>45390</v>
      </c>
      <c r="E16" s="7" t="str">
        <f>IFERROR(_xlfn.XLOOKUP(UPPER(TRIM('Raw Data'!E16)),'Cleaning Process'!$B$25:$B$35,'Cleaning Process'!$C$25:$C$35),"(unmapped)")</f>
        <v>United Kingdom</v>
      </c>
      <c r="F16" s="7" t="str">
        <f>PROPER(TRIM('Raw Data'!F16))</f>
        <v>Gadget</v>
      </c>
      <c r="G16" s="12">
        <f>IF('Raw Data'!G16="","",VALUE('Raw Data'!G16))</f>
        <v>7</v>
      </c>
      <c r="H16" s="13">
        <f>IF('Raw Data'!H16="","",VALUE(SUBSTITUTE(TRIM('Raw Data'!H16),"$","")))</f>
        <v>8</v>
      </c>
      <c r="I16" s="7" t="str">
        <f>IFERROR(_xlfn.XLOOKUP(UPPER(TRIM('Raw Data'!I16)),'Cleaning Process'!$E$25:$E$29,'Cleaning Process'!$F$25:$F$29),"(unmapped)")</f>
        <v>Unpaid</v>
      </c>
      <c r="J16" s="13">
        <f t="shared" si="0"/>
        <v>56</v>
      </c>
      <c r="K16" s="32" t="str">
        <f>IF(COUNTIF($A$2:A16,A16)&gt;1,"Duplicate","Valid")</f>
        <v>Valid</v>
      </c>
    </row>
    <row r="17" spans="1:11" x14ac:dyDescent="0.45">
      <c r="A17" s="7" t="str">
        <f>UPPER(TRIM('Raw Data'!A17))</f>
        <v>ORD-016</v>
      </c>
      <c r="B17" s="7" t="str">
        <f>PROPER(TRIM('Raw Data'!B17))</f>
        <v>David Lee</v>
      </c>
      <c r="C17" s="7" t="str">
        <f>LOWER(TRIM('Raw Data'!C17))</f>
        <v>david@email.com</v>
      </c>
      <c r="D17" s="11">
        <f>IFERROR(DATEVALUE(TRIM('Raw Data'!D17)),"")</f>
        <v>45392</v>
      </c>
      <c r="E17" s="7" t="str">
        <f>IFERROR(_xlfn.XLOOKUP(UPPER(TRIM('Raw Data'!E17)),'Cleaning Process'!$B$25:$B$35,'Cleaning Process'!$C$25:$C$35),"(unmapped)")</f>
        <v>United Kingdom</v>
      </c>
      <c r="F17" s="7" t="str">
        <f>PROPER(TRIM('Raw Data'!F17))</f>
        <v>Gizmo</v>
      </c>
      <c r="G17" s="12">
        <f>IF('Raw Data'!G17="","",VALUE('Raw Data'!G17))</f>
        <v>4</v>
      </c>
      <c r="H17" s="13">
        <f>IF('Raw Data'!H17="","",VALUE(SUBSTITUTE(TRIM('Raw Data'!H17),"$","")))</f>
        <v>15</v>
      </c>
      <c r="I17" s="7" t="str">
        <f>IFERROR(_xlfn.XLOOKUP(UPPER(TRIM('Raw Data'!I17)),'Cleaning Process'!$E$25:$E$29,'Cleaning Process'!$F$25:$F$29),"(unmapped)")</f>
        <v>Paid</v>
      </c>
      <c r="J17" s="13">
        <f t="shared" si="0"/>
        <v>60</v>
      </c>
      <c r="K17" s="32" t="str">
        <f>IF(COUNTIF($A$2:A17,A17)&gt;1,"Duplicate","Valid")</f>
        <v>Valid</v>
      </c>
    </row>
    <row r="18" spans="1:11" x14ac:dyDescent="0.45">
      <c r="A18" s="7" t="str">
        <f>UPPER(TRIM('Raw Data'!A18))</f>
        <v>ORD-017</v>
      </c>
      <c r="B18" s="7" t="str">
        <f>PROPER(TRIM('Raw Data'!B18))</f>
        <v>Sofia Rossi</v>
      </c>
      <c r="C18" s="7" t="str">
        <f>LOWER(TRIM('Raw Data'!C18))</f>
        <v>sofia.rossi@email.com</v>
      </c>
      <c r="D18" s="11">
        <f>IFERROR(DATEVALUE(TRIM('Raw Data'!D18)),"")</f>
        <v>45630</v>
      </c>
      <c r="E18" s="7" t="str">
        <f>IFERROR(_xlfn.XLOOKUP(UPPER(TRIM('Raw Data'!E18)),'Cleaning Process'!$B$25:$B$35,'Cleaning Process'!$C$25:$C$35),"(unmapped)")</f>
        <v>Germany</v>
      </c>
      <c r="F18" s="7" t="str">
        <f>PROPER(TRIM('Raw Data'!F18))</f>
        <v>Widget</v>
      </c>
      <c r="G18" s="12">
        <f>IF('Raw Data'!G18="","",VALUE('Raw Data'!G18))</f>
        <v>9</v>
      </c>
      <c r="H18" s="13">
        <f>IF('Raw Data'!H18="","",VALUE(SUBSTITUTE(TRIM('Raw Data'!H18),"$","")))</f>
        <v>12.5</v>
      </c>
      <c r="I18" s="7" t="str">
        <f>IFERROR(_xlfn.XLOOKUP(UPPER(TRIM('Raw Data'!I18)),'Cleaning Process'!$E$25:$E$29,'Cleaning Process'!$F$25:$F$29),"(unmapped)")</f>
        <v>Paid</v>
      </c>
      <c r="J18" s="13">
        <f t="shared" si="0"/>
        <v>112.5</v>
      </c>
      <c r="K18" s="32" t="str">
        <f>IF(COUNTIF($A$2:A18,A18)&gt;1,"Duplicate","Valid")</f>
        <v>Valid</v>
      </c>
    </row>
    <row r="19" spans="1:11" x14ac:dyDescent="0.45">
      <c r="A19" s="7" t="str">
        <f>UPPER(TRIM('Raw Data'!A19))</f>
        <v>ORD-018</v>
      </c>
      <c r="B19" s="7" t="str">
        <f>PROPER(TRIM('Raw Data'!B19))</f>
        <v>Ahmed Khan</v>
      </c>
      <c r="C19" s="7" t="str">
        <f>LOWER(TRIM('Raw Data'!C19))</f>
        <v>ahmed@email.com</v>
      </c>
      <c r="D19" s="11">
        <f>IFERROR(DATEVALUE(TRIM('Raw Data'!D19)),"")</f>
        <v>45397</v>
      </c>
      <c r="E19" s="7" t="str">
        <f>IFERROR(_xlfn.XLOOKUP(UPPER(TRIM('Raw Data'!E19)),'Cleaning Process'!$B$25:$B$35,'Cleaning Process'!$C$25:$C$35),"(unmapped)")</f>
        <v>Canada</v>
      </c>
      <c r="F19" s="7" t="str">
        <f>PROPER(TRIM('Raw Data'!F19))</f>
        <v>Gadget</v>
      </c>
      <c r="G19" s="12">
        <f>IF('Raw Data'!G19="","",VALUE('Raw Data'!G19))</f>
        <v>1</v>
      </c>
      <c r="H19" s="13">
        <f>IF('Raw Data'!H19="","",VALUE(SUBSTITUTE(TRIM('Raw Data'!H19),"$","")))</f>
        <v>8</v>
      </c>
      <c r="I19" s="7" t="str">
        <f>IFERROR(_xlfn.XLOOKUP(UPPER(TRIM('Raw Data'!I19)),'Cleaning Process'!$E$25:$E$29,'Cleaning Process'!$F$25:$F$29),"(unmapped)")</f>
        <v>Pending</v>
      </c>
      <c r="J19" s="13">
        <f t="shared" si="0"/>
        <v>8</v>
      </c>
      <c r="K19" s="32" t="str">
        <f>IF(COUNTIF($A$2:A19,A19)&gt;1,"Duplicate","Valid")</f>
        <v>Valid</v>
      </c>
    </row>
    <row r="20" spans="1:11" x14ac:dyDescent="0.45">
      <c r="A20" s="7" t="str">
        <f>UPPER(TRIM('Raw Data'!A20))</f>
        <v>ORD-001</v>
      </c>
      <c r="B20" s="7" t="str">
        <f>PROPER(TRIM('Raw Data'!B20))</f>
        <v>John Smith</v>
      </c>
      <c r="C20" s="7" t="str">
        <f>LOWER(TRIM('Raw Data'!C20))</f>
        <v>john.smith@email.com</v>
      </c>
      <c r="D20" s="11">
        <f>IFERROR(DATEVALUE(TRIM('Raw Data'!D20)),"")</f>
        <v>45352</v>
      </c>
      <c r="E20" s="7" t="str">
        <f>IFERROR(_xlfn.XLOOKUP(UPPER(TRIM('Raw Data'!E20)),'Cleaning Process'!$B$25:$B$35,'Cleaning Process'!$C$25:$C$35),"(unmapped)")</f>
        <v>United States</v>
      </c>
      <c r="F20" s="7" t="str">
        <f>PROPER(TRIM('Raw Data'!F20))</f>
        <v>Widget</v>
      </c>
      <c r="G20" s="12">
        <f>IF('Raw Data'!G20="","",VALUE('Raw Data'!G20))</f>
        <v>3</v>
      </c>
      <c r="H20" s="13">
        <f>IF('Raw Data'!H20="","",VALUE(SUBSTITUTE(TRIM('Raw Data'!H20),"$","")))</f>
        <v>12.5</v>
      </c>
      <c r="I20" s="7" t="str">
        <f>IFERROR(_xlfn.XLOOKUP(UPPER(TRIM('Raw Data'!I20)),'Cleaning Process'!$E$25:$E$29,'Cleaning Process'!$F$25:$F$29),"(unmapped)")</f>
        <v>Paid</v>
      </c>
      <c r="J20" s="13">
        <f t="shared" si="0"/>
        <v>37.5</v>
      </c>
      <c r="K20" s="32" t="str">
        <f>IF(COUNTIF($A$2:A20,A20)&gt;1,"Duplicate","Valid")</f>
        <v>Duplicate</v>
      </c>
    </row>
    <row r="21" spans="1:11" x14ac:dyDescent="0.45">
      <c r="A21" s="8" t="str">
        <f>UPPER(TRIM('Raw Data'!A21))</f>
        <v>ORD-019</v>
      </c>
      <c r="B21" s="8" t="str">
        <f>PROPER(TRIM('Raw Data'!B21))</f>
        <v>Grace Hall</v>
      </c>
      <c r="C21" s="8" t="str">
        <f>LOWER(TRIM('Raw Data'!C21))</f>
        <v>grace.hall@email.com</v>
      </c>
      <c r="D21" s="14">
        <f>IFERROR(DATEVALUE(TRIM('Raw Data'!D21)),"")</f>
        <v>45402</v>
      </c>
      <c r="E21" s="7" t="str">
        <f>IFERROR(_xlfn.XLOOKUP(UPPER(TRIM('Raw Data'!E21)),'Cleaning Process'!$B$25:$B$35,'Cleaning Process'!$C$25:$C$35),"(unmapped)")</f>
        <v>Canada</v>
      </c>
      <c r="F21" s="8" t="str">
        <f>PROPER(TRIM('Raw Data'!F21))</f>
        <v>Gizmo</v>
      </c>
      <c r="G21" s="15">
        <f>IF('Raw Data'!G21="","",VALUE('Raw Data'!G21))</f>
        <v>2</v>
      </c>
      <c r="H21" s="16">
        <f>IF('Raw Data'!H21="","",VALUE(SUBSTITUTE(TRIM('Raw Data'!H21),"$","")))</f>
        <v>15</v>
      </c>
      <c r="I21" s="7" t="str">
        <f>IFERROR(_xlfn.XLOOKUP(UPPER(TRIM('Raw Data'!I21)),'Cleaning Process'!$E$25:$E$29,'Cleaning Process'!$F$25:$F$29),"(unmapped)")</f>
        <v>Cancelled</v>
      </c>
      <c r="J21" s="16">
        <f t="shared" si="0"/>
        <v>30</v>
      </c>
      <c r="K21" s="33" t="str">
        <f>IF(COUNTIF($A$2:A21,A21)&gt;1,"Duplicate","Valid")</f>
        <v>Valid</v>
      </c>
    </row>
  </sheetData>
  <conditionalFormatting sqref="A2:K21">
    <cfRule type="expression" priority="1">
      <formula>ISEVEN(ROW())</formula>
    </cfRule>
  </conditionalFormatting>
  <conditionalFormatting sqref="K2:K21">
    <cfRule type="cellIs" priority="2" operator="equal">
      <formula>"Duplicate"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Raw Data</vt:lpstr>
      <vt:lpstr>Cleaning Process</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Aled Rowlands</dc:creator>
  <cp:lastModifiedBy>Aled Rowlands</cp:lastModifiedBy>
  <dcterms:created xsi:type="dcterms:W3CDTF">2026-06-17T21:49:13Z</dcterms:created>
  <dcterms:modified xsi:type="dcterms:W3CDTF">2026-06-23T18:42:18Z</dcterms:modified>
</cp:coreProperties>
</file>